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5180" activeTab="1"/>
  </bookViews>
  <sheets>
    <sheet name="【1】按冷站电量数据-上限" sheetId="1" r:id="rId1"/>
    <sheet name="【2】按冷站电量数据-下限" sheetId="3" r:id="rId2"/>
    <sheet name="全国主要城市气象情况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qihj</author>
  </authors>
  <commentList>
    <comment ref="L3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4" authorId="0">
      <text>
        <r>
          <rPr>
            <sz val="10"/>
            <rFont val="宋体"/>
            <charset val="134"/>
          </rPr>
          <t>备注：根据现场情况填写，默认为35Hz</t>
        </r>
      </text>
    </comment>
    <comment ref="L5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6" authorId="0">
      <text>
        <r>
          <rPr>
            <sz val="10"/>
            <rFont val="宋体"/>
            <charset val="134"/>
          </rPr>
          <t>备注：根据现场情况填写，默认为35Hz</t>
        </r>
      </text>
    </comment>
  </commentList>
</comments>
</file>

<file path=xl/comments2.xml><?xml version="1.0" encoding="utf-8"?>
<comments xmlns="http://schemas.openxmlformats.org/spreadsheetml/2006/main">
  <authors>
    <author>qihj</author>
  </authors>
  <commentList>
    <comment ref="L3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4" authorId="0">
      <text>
        <r>
          <rPr>
            <sz val="10"/>
            <rFont val="宋体"/>
            <charset val="134"/>
          </rPr>
          <t>备注：根据现场情况填写，默认为35Hz</t>
        </r>
      </text>
    </comment>
    <comment ref="L5" authorId="0">
      <text>
        <r>
          <rPr>
            <sz val="10"/>
            <rFont val="宋体"/>
            <charset val="134"/>
          </rPr>
          <t>备注：取冷机铭牌，默认为5℃</t>
        </r>
      </text>
    </comment>
    <comment ref="L6" authorId="0">
      <text>
        <r>
          <rPr>
            <sz val="10"/>
            <rFont val="宋体"/>
            <charset val="134"/>
          </rPr>
          <t>备注：根据现场情况填写，默认为35Hz</t>
        </r>
      </text>
    </comment>
  </commentList>
</comments>
</file>

<file path=xl/sharedStrings.xml><?xml version="1.0" encoding="utf-8"?>
<sst xmlns="http://schemas.openxmlformats.org/spreadsheetml/2006/main" count="162" uniqueCount="70">
  <si>
    <t>节能量测算与评估表</t>
  </si>
  <si>
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</si>
  <si>
    <t>项目地区</t>
  </si>
  <si>
    <t>冷却水额定温差（℃）</t>
  </si>
  <si>
    <t>冷机能耗占比</t>
  </si>
  <si>
    <t>冷却泵最小频率（Hz）</t>
  </si>
  <si>
    <t>冷却泵能耗占比</t>
  </si>
  <si>
    <t>华南</t>
  </si>
  <si>
    <t>冷冻水额定温差（℃）</t>
  </si>
  <si>
    <t>冷冻泵能耗占比</t>
  </si>
  <si>
    <t>华东</t>
  </si>
  <si>
    <t>冷冻泵最小频率（Hz）</t>
  </si>
  <si>
    <t>冷却塔能耗占比</t>
  </si>
  <si>
    <t>华中</t>
  </si>
  <si>
    <t>冷机</t>
  </si>
  <si>
    <t>分项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</si>
  <si>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</si>
  <si>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</si>
  <si>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</si>
  <si>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</si>
  <si>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</si>
  <si>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</si>
  <si>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</si>
  <si>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</si>
  <si>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</si>
  <si>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</si>
  <si>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</si>
  <si>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</si>
  <si>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</si>
  <si>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西南</t>
  </si>
  <si>
    <t>冷机能耗（万kWh）</t>
  </si>
  <si>
    <t>西北</t>
  </si>
  <si>
    <t>用户供水设定温度（℃）</t>
  </si>
  <si>
    <t>华北</t>
  </si>
  <si>
    <t>预计供水温度（℃）</t>
  </si>
  <si>
    <t>冷机预计节能量（万kWh）</t>
  </si>
  <si>
    <t>冷却泵</t>
  </si>
  <si>
    <t>冷却泵能耗（万kWh）</t>
  </si>
  <si>
    <t>用户设定运行频率（Hz）</t>
  </si>
  <si>
    <t>冷却侧供回水温差（℃）</t>
  </si>
  <si>
    <t>预计设定频率（Hz）</t>
  </si>
  <si>
    <t>冷却泵预计节能量（万kWh）</t>
  </si>
  <si>
    <t>冷冻泵</t>
  </si>
  <si>
    <t>冷冻泵能耗（万kWh）</t>
  </si>
  <si>
    <t>冷冻侧供回水温差（℃）</t>
  </si>
  <si>
    <t>冷冻泵预计节能量（万kWh）</t>
  </si>
  <si>
    <t>冷却塔</t>
  </si>
  <si>
    <t>冷却塔能耗（万kWh）</t>
  </si>
  <si>
    <t>用户冷却塔出水温度（℃）</t>
  </si>
  <si>
    <t>预计冷却塔出水温度（℃）</t>
  </si>
  <si>
    <t>预计产生的冷机节能量（万kWh）</t>
  </si>
  <si>
    <t>冷站</t>
  </si>
  <si>
    <t>总能耗（万kWh）</t>
  </si>
  <si>
    <t>冷站预计节能量（万kWh）</t>
  </si>
  <si>
    <t>冷站节能率</t>
  </si>
  <si>
    <t>电费单价（元/kWh）</t>
  </si>
  <si>
    <t>节省费用（万元/年）</t>
  </si>
  <si>
    <t>城市</t>
  </si>
  <si>
    <t>参数</t>
  </si>
  <si>
    <t xml:space="preserve">8月 </t>
  </si>
  <si>
    <t>广州</t>
  </si>
  <si>
    <t>平均温度</t>
  </si>
  <si>
    <t>相对湿度</t>
  </si>
  <si>
    <t>湿球温度</t>
  </si>
  <si>
    <t>冷却塔出水温度</t>
  </si>
  <si>
    <t>上海</t>
  </si>
  <si>
    <t>武汉</t>
  </si>
  <si>
    <t>成都</t>
  </si>
  <si>
    <t>西安</t>
  </si>
  <si>
    <t>济南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</si>
</sst>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%"/>
  </numFmts>
  <fonts count="3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6"/>
      <color theme="0"/>
      <name val="微软雅黑"/>
      <charset val="134"/>
    </font>
    <font>
      <sz val="11"/>
      <color rgb="FFC0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3F3F76"/>
      <name val="微软雅黑"/>
      <charset val="134"/>
    </font>
    <font>
      <b/>
      <sz val="11"/>
      <color rgb="FFFF0000"/>
      <name val="微软雅黑"/>
      <charset val="134"/>
    </font>
    <font>
      <b/>
      <sz val="16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3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5">
      <alignment vertical="center"/>
    </xf>
    <xf numFmtId="0" fontId="17" fillId="0" borderId="35">
      <alignment vertical="center"/>
    </xf>
    <xf numFmtId="0" fontId="18" fillId="0" borderId="36">
      <alignment vertical="center"/>
    </xf>
    <xf numFmtId="0" fontId="18" fillId="0" borderId="0">
      <alignment vertical="center"/>
    </xf>
    <xf numFmtId="0" fontId="19" fillId="7" borderId="37">
      <alignment vertical="center"/>
    </xf>
    <xf numFmtId="0" fontId="20" fillId="8" borderId="38">
      <alignment vertical="center"/>
    </xf>
    <xf numFmtId="0" fontId="21" fillId="8" borderId="37">
      <alignment vertical="center"/>
    </xf>
    <xf numFmtId="0" fontId="22" fillId="9" borderId="39">
      <alignment vertical="center"/>
    </xf>
    <xf numFmtId="0" fontId="23" fillId="0" borderId="40">
      <alignment vertical="center"/>
    </xf>
    <xf numFmtId="0" fontId="24" fillId="0" borderId="41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3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2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65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0" borderId="1" xfId="0" applyFont="1" applyBorder="1" applyAlignment="1">
      <alignment horizontal="center" vertical="center"/>
    </xf>
    <xf numFmtId="10" fontId="0" fillId="0" borderId="0" xfId="3" applyNumberForma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4" fillId="0" borderId="7" xfId="0" applyFont="1" applyBorder="1" applyAlignment="1">
      <alignment horizontal="left" vertical="center" wrapText="1"/>
    </xf>
    <xf numFmtId="0" fontId="0" fillId="0" borderId="8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9" xfId="0" applyBorder="1" applyAlignment="1"/>
    <xf numFmtId="0" fontId="5" fillId="0" borderId="10" xfId="0" applyFont="1" applyBorder="1" applyAlignment="1">
      <alignment horizontal="center" vertical="center" wrapText="1"/>
    </xf>
    <xf numFmtId="0" fontId="0" fillId="0" borderId="11" xfId="0" applyBorder="1" applyAlignment="1"/>
    <xf numFmtId="0" fontId="5" fillId="3" borderId="1" xfId="0" applyFont="1" applyFill="1" applyBorder="1" applyAlignment="1">
      <alignment horizontal="center" vertical="center" wrapText="1"/>
    </xf>
    <xf numFmtId="9" fontId="6" fillId="3" borderId="12" xfId="3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5" fillId="3" borderId="14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9" fontId="6" fillId="3" borderId="19" xfId="3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/>
    <xf numFmtId="0" fontId="7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0" fontId="8" fillId="0" borderId="1" xfId="16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4" xfId="0" applyBorder="1" applyAlignment="1"/>
    <xf numFmtId="0" fontId="7" fillId="0" borderId="25" xfId="0" applyFont="1" applyBorder="1" applyAlignment="1">
      <alignment horizontal="left" vertical="center"/>
    </xf>
    <xf numFmtId="176" fontId="6" fillId="0" borderId="25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176" fontId="6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16" applyFont="1" applyFill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176" fontId="6" fillId="4" borderId="3" xfId="0" applyNumberFormat="1" applyFont="1" applyFill="1" applyBorder="1" applyAlignment="1">
      <alignment horizontal="center" vertical="center"/>
    </xf>
    <xf numFmtId="176" fontId="7" fillId="4" borderId="28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9" fillId="5" borderId="12" xfId="0" applyNumberFormat="1" applyFont="1" applyFill="1" applyBorder="1" applyAlignment="1">
      <alignment horizontal="center" vertical="center"/>
    </xf>
    <xf numFmtId="178" fontId="10" fillId="5" borderId="25" xfId="3" applyNumberFormat="1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7" fillId="0" borderId="25" xfId="0" applyFont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2" fontId="10" fillId="5" borderId="26" xfId="3" applyNumberFormat="1" applyFont="1" applyFill="1" applyBorder="1" applyAlignment="1">
      <alignment horizontal="center" vertical="center"/>
    </xf>
    <xf numFmtId="0" fontId="0" fillId="0" borderId="33" xfId="0" applyBorder="1" applyAlignment="1"/>
    <xf numFmtId="178" fontId="0" fillId="0" borderId="0" xfId="3" applyNumberFormat="1" applyAlignment="1">
      <alignment vertical="center"/>
    </xf>
    <xf numFmtId="9" fontId="6" fillId="3" borderId="12" xfId="3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0"/>
  <sheetViews>
    <sheetView showGridLines="0" zoomScale="90" zoomScaleNormal="90" workbookViewId="0">
      <selection activeCell="H4" sqref="H4:I6"/>
    </sheetView>
  </sheetViews>
  <sheetFormatPr defaultColWidth="9" defaultRowHeight="16.8"/>
  <cols>
    <col min="1" max="1" width="2.38392857142857" style="1" customWidth="1"/>
    <col min="2" max="2" width="14.5" style="1" customWidth="1"/>
    <col min="3" max="3" width="30.25" style="1" customWidth="1"/>
    <col min="4" max="9" width="9.63392857142857" style="1" customWidth="1"/>
    <col min="10" max="10" width="10.3839285714286" style="1" customWidth="1"/>
    <col min="11" max="11" width="10" style="1" customWidth="1"/>
    <col min="12" max="15" width="9.63392857142857" style="1" customWidth="1"/>
    <col min="16" max="16" width="9.88392857142857" style="1" customWidth="1"/>
    <col min="17" max="17" width="12.8928571428571" style="7" customWidth="1"/>
    <col min="18" max="21" width="9" style="1" hidden="1" customWidth="1"/>
    <col min="22" max="22" width="12.8928571428571" style="7" customWidth="1"/>
  </cols>
  <sheetData>
    <row r="1" ht="7.5" customHeight="1"/>
    <row r="2" ht="26.45" customHeight="1" spans="2:22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ht="26.45" customHeight="1" spans="2:22">
      <c r="B3" s="11" t="s">
        <v>1</v>
      </c>
      <c r="C3" s="12"/>
      <c r="D3" s="12"/>
      <c r="E3" s="12"/>
      <c r="F3" s="12"/>
      <c r="G3" s="12"/>
      <c r="H3" s="13" t="s">
        <v>2</v>
      </c>
      <c r="I3" s="14"/>
      <c r="J3" s="15" t="s">
        <v>3</v>
      </c>
      <c r="K3" s="16"/>
      <c r="L3" s="17">
        <v>5</v>
      </c>
      <c r="M3" s="13" t="s">
        <v>4</v>
      </c>
      <c r="N3" s="16"/>
      <c r="O3" s="14"/>
      <c r="P3" s="18">
        <v>0.68</v>
      </c>
      <c r="Q3" s="7">
        <v>1</v>
      </c>
    </row>
    <row r="4" ht="26.45" customHeight="1" spans="2:22">
      <c r="B4" s="19"/>
      <c r="H4" s="20"/>
      <c r="I4" s="21"/>
      <c r="J4" s="15" t="s">
        <v>5</v>
      </c>
      <c r="K4" s="16"/>
      <c r="L4" s="17">
        <v>35</v>
      </c>
      <c r="M4" s="13" t="s">
        <v>6</v>
      </c>
      <c r="N4" s="16"/>
      <c r="O4" s="14"/>
      <c r="P4" s="18">
        <v>0.17</v>
      </c>
      <c r="R4" t="s">
        <v>7</v>
      </c>
    </row>
    <row r="5" ht="26.45" customHeight="1" spans="2:22">
      <c r="B5" s="19"/>
      <c r="H5" s="22"/>
      <c r="I5" s="23"/>
      <c r="J5" s="15" t="s">
        <v>8</v>
      </c>
      <c r="K5" s="16"/>
      <c r="L5" s="17">
        <v>5</v>
      </c>
      <c r="M5" s="13" t="s">
        <v>9</v>
      </c>
      <c r="N5" s="16"/>
      <c r="O5" s="14"/>
      <c r="P5" s="64">
        <v>0.1</v>
      </c>
      <c r="R5" t="s">
        <v>10</v>
      </c>
    </row>
    <row r="6" ht="26.45" customHeight="1" spans="2:22">
      <c r="B6" s="19"/>
      <c r="H6" s="22"/>
      <c r="I6" s="23"/>
      <c r="J6" s="24" t="s">
        <v>11</v>
      </c>
      <c r="K6" s="12"/>
      <c r="L6" s="20">
        <v>35</v>
      </c>
      <c r="M6" s="25" t="s">
        <v>12</v>
      </c>
      <c r="N6" s="12"/>
      <c r="O6" s="21"/>
      <c r="P6" s="26">
        <v>0.05</v>
      </c>
      <c r="R6" t="s">
        <v>13</v>
      </c>
    </row>
    <row r="7" ht="21.95" customHeight="1" spans="2:22">
      <c r="B7" s="27" t="s">
        <v>14</v>
      </c>
      <c r="C7" s="28" t="s">
        <v>15</v>
      </c>
      <c r="D7" s="28" t="s">
        <v>16</v>
      </c>
      <c r="E7" s="28" t="s">
        <v>17</v>
      </c>
      <c r="F7" s="28" t="s">
        <v>18</v>
      </c>
      <c r="G7" s="28" t="s">
        <v>19</v>
      </c>
      <c r="H7" s="28" t="s">
        <v>20</v>
      </c>
      <c r="I7" s="28" t="s">
        <v>21</v>
      </c>
      <c r="J7" s="28" t="s">
        <v>22</v>
      </c>
      <c r="K7" s="28" t="s">
        <v>23</v>
      </c>
      <c r="L7" s="28" t="s">
        <v>24</v>
      </c>
      <c r="M7" s="28" t="s">
        <v>25</v>
      </c>
      <c r="N7" s="28" t="s">
        <v>26</v>
      </c>
      <c r="O7" s="28" t="s">
        <v>27</v>
      </c>
      <c r="P7" s="29" t="s">
        <v>28</v>
      </c>
      <c r="R7" t="s">
        <v>29</v>
      </c>
    </row>
    <row r="8" ht="21.95" customHeight="1" spans="2:22">
      <c r="B8" s="30"/>
      <c r="C8" s="31" t="s">
        <v>30</v>
      </c>
      <c r="D8" s="32">
        <f t="shared" ref="D8:O8" si="0">D27*$P$3</f>
        <v>0</v>
      </c>
      <c r="E8" s="32">
        <f t="shared" si="0"/>
        <v>0</v>
      </c>
      <c r="F8" s="32">
        <f t="shared" si="0"/>
        <v>0</v>
      </c>
      <c r="G8" s="32">
        <f t="shared" si="0"/>
        <v>0</v>
      </c>
      <c r="H8" s="32">
        <f t="shared" si="0"/>
        <v>0</v>
      </c>
      <c r="I8" s="32">
        <f t="shared" si="0"/>
        <v>0</v>
      </c>
      <c r="J8" s="32">
        <f t="shared" si="0"/>
        <v>0</v>
      </c>
      <c r="K8" s="32">
        <f t="shared" si="0"/>
        <v>0</v>
      </c>
      <c r="L8" s="32">
        <f t="shared" si="0"/>
        <v>0</v>
      </c>
      <c r="M8" s="32">
        <f t="shared" si="0"/>
        <v>0</v>
      </c>
      <c r="N8" s="32">
        <f t="shared" si="0"/>
        <v>0</v>
      </c>
      <c r="O8" s="32">
        <f t="shared" si="0"/>
        <v>0</v>
      </c>
      <c r="P8" s="33">
        <f>SUM(D8:O8)</f>
        <v>0</v>
      </c>
      <c r="R8" t="s">
        <v>31</v>
      </c>
    </row>
    <row r="9" ht="21.95" customHeight="1" spans="2:22">
      <c r="B9" s="30"/>
      <c r="C9" s="31" t="s">
        <v>32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3"/>
      <c r="R9" t="s">
        <v>33</v>
      </c>
    </row>
    <row r="10" ht="21.95" customHeight="1" spans="2:22">
      <c r="B10" s="30"/>
      <c r="C10" s="31" t="s">
        <v>34</v>
      </c>
      <c r="D10" s="35">
        <f>IF(D9&lt;8.5,D9+3.5,IF(D9&lt;10,D9+2.5,IF(D9&lt;12,D9+1.5,D9)))</f>
        <v>3.5</v>
      </c>
      <c r="E10" s="35">
        <f>IF(E9&lt;8.5,E9+3,IF(E9&lt;10,E9+2.5,IF(E9&lt;12,E9+1.5,E9)))</f>
        <v>3</v>
      </c>
      <c r="F10" s="35">
        <f>IF(F9&lt;8.5,F9+2.5,IF(F9&lt;10,F9+2,IF(F9&lt;12,F9+1.5,F9)))</f>
        <v>2.5</v>
      </c>
      <c r="G10" s="35">
        <f>IF(G9&lt;8.5,G9+2,IF(G9&lt;10,G9+1.5,IF(G9&lt;12,G9+1,G9)))</f>
        <v>2</v>
      </c>
      <c r="H10" s="35">
        <f>IF(H9&lt;8.5,H9+1.5,IF(H9&lt;10,H9+1,IF(H9&lt;12,H9+0.5,H9)))</f>
        <v>1.5</v>
      </c>
      <c r="I10" s="35">
        <f t="shared" ref="I10:K10" si="1">IF(I9&lt;8.5,I9+1,IF(I9&lt;10,I9,IF(I9&lt;12,I9,I9)))</f>
        <v>1</v>
      </c>
      <c r="J10" s="35">
        <f t="shared" si="1"/>
        <v>1</v>
      </c>
      <c r="K10" s="35">
        <f t="shared" si="1"/>
        <v>1</v>
      </c>
      <c r="L10" s="35">
        <f>IF(L9&lt;8.5,L9+1.5,IF(L9&lt;10,L9+1,IF(L9&lt;12,L9+0.5,L9)))</f>
        <v>1.5</v>
      </c>
      <c r="M10" s="35">
        <f>IF(M9&lt;8.5,M9+2,IF(M9&lt;10,M9+1.5,IF(M9&lt;12,M9+1,M9)))</f>
        <v>2</v>
      </c>
      <c r="N10" s="35">
        <f>IF(N9&lt;8.5,N9+2.5,IF(N9&lt;10,N9+2,IF(N9&lt;12,N9+1.5,N9)))</f>
        <v>2.5</v>
      </c>
      <c r="O10" s="35">
        <f>IF(O9&lt;8.5,O9+3,IF(O9&lt;10,O9+2.5,IF(O9&lt;12,O9+1.5,O9)))</f>
        <v>3</v>
      </c>
      <c r="P10" s="33"/>
    </row>
    <row r="11" ht="21.95" customHeight="1" spans="2:22">
      <c r="B11" s="36"/>
      <c r="C11" s="37" t="s">
        <v>35</v>
      </c>
      <c r="D11" s="38">
        <f t="shared" ref="D11:O11" si="2">MAX(D8*(D10-D9)*0.04,0)</f>
        <v>0</v>
      </c>
      <c r="E11" s="38">
        <f t="shared" si="2"/>
        <v>0</v>
      </c>
      <c r="F11" s="38">
        <f t="shared" si="2"/>
        <v>0</v>
      </c>
      <c r="G11" s="38">
        <f t="shared" si="2"/>
        <v>0</v>
      </c>
      <c r="H11" s="38">
        <f t="shared" si="2"/>
        <v>0</v>
      </c>
      <c r="I11" s="38">
        <f t="shared" si="2"/>
        <v>0</v>
      </c>
      <c r="J11" s="38">
        <f t="shared" si="2"/>
        <v>0</v>
      </c>
      <c r="K11" s="38">
        <f t="shared" si="2"/>
        <v>0</v>
      </c>
      <c r="L11" s="38">
        <f t="shared" si="2"/>
        <v>0</v>
      </c>
      <c r="M11" s="38">
        <f t="shared" si="2"/>
        <v>0</v>
      </c>
      <c r="N11" s="38">
        <f t="shared" si="2"/>
        <v>0</v>
      </c>
      <c r="O11" s="38">
        <f t="shared" si="2"/>
        <v>0</v>
      </c>
      <c r="P11" s="39">
        <f>MAX(SUM(D11:O11),0)</f>
        <v>0</v>
      </c>
      <c r="Q11" s="7" t="e">
        <f>P11/P8</f>
        <v>#DIV/0!</v>
      </c>
      <c r="V11" s="7" t="e">
        <f>P11/P27</f>
        <v>#DIV/0!</v>
      </c>
    </row>
    <row r="12" ht="21.95" customHeight="1" spans="2:22">
      <c r="B12" s="27" t="s">
        <v>36</v>
      </c>
      <c r="C12" s="40" t="s">
        <v>37</v>
      </c>
      <c r="D12" s="41">
        <f t="shared" ref="D12:O12" si="3">D27*$P$4</f>
        <v>0</v>
      </c>
      <c r="E12" s="41">
        <f t="shared" si="3"/>
        <v>0</v>
      </c>
      <c r="F12" s="41">
        <f t="shared" si="3"/>
        <v>0</v>
      </c>
      <c r="G12" s="41">
        <f t="shared" si="3"/>
        <v>0</v>
      </c>
      <c r="H12" s="41">
        <f t="shared" si="3"/>
        <v>0</v>
      </c>
      <c r="I12" s="41">
        <f t="shared" si="3"/>
        <v>0</v>
      </c>
      <c r="J12" s="41">
        <f t="shared" si="3"/>
        <v>0</v>
      </c>
      <c r="K12" s="41">
        <f t="shared" si="3"/>
        <v>0</v>
      </c>
      <c r="L12" s="41">
        <f t="shared" si="3"/>
        <v>0</v>
      </c>
      <c r="M12" s="41">
        <f t="shared" si="3"/>
        <v>0</v>
      </c>
      <c r="N12" s="41">
        <f t="shared" si="3"/>
        <v>0</v>
      </c>
      <c r="O12" s="41">
        <f t="shared" si="3"/>
        <v>0</v>
      </c>
      <c r="P12" s="42">
        <f>SUM(D12:O12)</f>
        <v>0</v>
      </c>
    </row>
    <row r="13" ht="21.95" customHeight="1" spans="2:22">
      <c r="B13" s="30"/>
      <c r="C13" s="31" t="s">
        <v>38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33"/>
    </row>
    <row r="14" ht="21.95" customHeight="1" spans="2:22">
      <c r="B14" s="30"/>
      <c r="C14" s="31" t="s">
        <v>39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33"/>
    </row>
    <row r="15" ht="21.95" customHeight="1" spans="2:22">
      <c r="B15" s="30"/>
      <c r="C15" s="31" t="s">
        <v>40</v>
      </c>
      <c r="D15" s="44">
        <f t="shared" ref="D15:O15" si="4">IF(D14&lt;=$L$3,IF(D14/$L$3*D13&lt;$L$4,$L$4,IF(D14/$L$3*D13&lt;=50,D14/$L$3*D13,50)),D13)</f>
        <v>35</v>
      </c>
      <c r="E15" s="44">
        <f t="shared" si="4"/>
        <v>35</v>
      </c>
      <c r="F15" s="44">
        <f t="shared" si="4"/>
        <v>35</v>
      </c>
      <c r="G15" s="44">
        <f t="shared" si="4"/>
        <v>35</v>
      </c>
      <c r="H15" s="44">
        <f t="shared" si="4"/>
        <v>35</v>
      </c>
      <c r="I15" s="44">
        <f t="shared" si="4"/>
        <v>35</v>
      </c>
      <c r="J15" s="44">
        <f t="shared" si="4"/>
        <v>35</v>
      </c>
      <c r="K15" s="44">
        <f t="shared" si="4"/>
        <v>35</v>
      </c>
      <c r="L15" s="44">
        <f t="shared" si="4"/>
        <v>35</v>
      </c>
      <c r="M15" s="44">
        <f t="shared" si="4"/>
        <v>35</v>
      </c>
      <c r="N15" s="44">
        <f t="shared" si="4"/>
        <v>35</v>
      </c>
      <c r="O15" s="44">
        <f t="shared" si="4"/>
        <v>35</v>
      </c>
      <c r="P15" s="33"/>
    </row>
    <row r="16" ht="21.95" customHeight="1" spans="2:22">
      <c r="B16" s="36"/>
      <c r="C16" s="37" t="s">
        <v>41</v>
      </c>
      <c r="D16" s="45" t="e">
        <f t="shared" ref="D16:O16" si="5">MAX(D12*(1-(D15/D13)^2.5),0)</f>
        <v>#DIV/0!</v>
      </c>
      <c r="E16" s="45" t="e">
        <f t="shared" si="5"/>
        <v>#DIV/0!</v>
      </c>
      <c r="F16" s="45" t="e">
        <f t="shared" si="5"/>
        <v>#DIV/0!</v>
      </c>
      <c r="G16" s="45" t="e">
        <f t="shared" si="5"/>
        <v>#DIV/0!</v>
      </c>
      <c r="H16" s="45" t="e">
        <f t="shared" si="5"/>
        <v>#DIV/0!</v>
      </c>
      <c r="I16" s="45" t="e">
        <f t="shared" si="5"/>
        <v>#DIV/0!</v>
      </c>
      <c r="J16" s="45" t="e">
        <f t="shared" si="5"/>
        <v>#DIV/0!</v>
      </c>
      <c r="K16" s="45" t="e">
        <f t="shared" si="5"/>
        <v>#DIV/0!</v>
      </c>
      <c r="L16" s="45" t="e">
        <f t="shared" si="5"/>
        <v>#DIV/0!</v>
      </c>
      <c r="M16" s="45" t="e">
        <f t="shared" si="5"/>
        <v>#DIV/0!</v>
      </c>
      <c r="N16" s="45" t="e">
        <f t="shared" si="5"/>
        <v>#DIV/0!</v>
      </c>
      <c r="O16" s="45" t="e">
        <f t="shared" si="5"/>
        <v>#DIV/0!</v>
      </c>
      <c r="P16" s="39" t="e">
        <f>MAX(SUM(D16:O16),0)</f>
        <v>#DIV/0!</v>
      </c>
      <c r="Q16" s="7" t="e">
        <f>P16/P12</f>
        <v>#DIV/0!</v>
      </c>
      <c r="V16" s="7" t="e">
        <f>P16/P27</f>
        <v>#DIV/0!</v>
      </c>
    </row>
    <row r="17" ht="21.95" customHeight="1" spans="2:22">
      <c r="B17" s="27" t="s">
        <v>42</v>
      </c>
      <c r="C17" s="40" t="s">
        <v>43</v>
      </c>
      <c r="D17" s="41">
        <f t="shared" ref="D17:O17" si="6">D27*$P$5</f>
        <v>0</v>
      </c>
      <c r="E17" s="41">
        <f t="shared" si="6"/>
        <v>0</v>
      </c>
      <c r="F17" s="41">
        <f t="shared" si="6"/>
        <v>0</v>
      </c>
      <c r="G17" s="41">
        <f t="shared" si="6"/>
        <v>0</v>
      </c>
      <c r="H17" s="41">
        <f t="shared" si="6"/>
        <v>0</v>
      </c>
      <c r="I17" s="41">
        <f t="shared" si="6"/>
        <v>0</v>
      </c>
      <c r="J17" s="41">
        <f t="shared" si="6"/>
        <v>0</v>
      </c>
      <c r="K17" s="41">
        <f t="shared" si="6"/>
        <v>0</v>
      </c>
      <c r="L17" s="41">
        <f t="shared" si="6"/>
        <v>0</v>
      </c>
      <c r="M17" s="41">
        <f t="shared" si="6"/>
        <v>0</v>
      </c>
      <c r="N17" s="41">
        <f t="shared" si="6"/>
        <v>0</v>
      </c>
      <c r="O17" s="41">
        <f t="shared" si="6"/>
        <v>0</v>
      </c>
      <c r="P17" s="42">
        <f>SUM(D17:O17)</f>
        <v>0</v>
      </c>
    </row>
    <row r="18" ht="21.95" customHeight="1" spans="2:22">
      <c r="B18" s="30"/>
      <c r="C18" s="31" t="s">
        <v>38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33"/>
    </row>
    <row r="19" ht="21.95" customHeight="1" spans="2:22">
      <c r="B19" s="30"/>
      <c r="C19" s="31" t="s">
        <v>44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33"/>
    </row>
    <row r="20" ht="21.95" customHeight="1" spans="2:22">
      <c r="B20" s="30"/>
      <c r="C20" s="31" t="s">
        <v>40</v>
      </c>
      <c r="D20" s="44">
        <f t="shared" ref="D20:O20" si="7">IF(D19&lt;=$L$5,IF(D19/$L$5*D18&lt;$L$6,$L$6,IF(D19/$L$5*D18&lt;=50,D19/$L$5*D18,50)),D18)</f>
        <v>35</v>
      </c>
      <c r="E20" s="44">
        <f t="shared" si="7"/>
        <v>35</v>
      </c>
      <c r="F20" s="44">
        <f t="shared" si="7"/>
        <v>35</v>
      </c>
      <c r="G20" s="44">
        <f t="shared" si="7"/>
        <v>35</v>
      </c>
      <c r="H20" s="44">
        <f t="shared" si="7"/>
        <v>35</v>
      </c>
      <c r="I20" s="44">
        <f t="shared" si="7"/>
        <v>35</v>
      </c>
      <c r="J20" s="44">
        <f t="shared" si="7"/>
        <v>35</v>
      </c>
      <c r="K20" s="44">
        <f t="shared" si="7"/>
        <v>35</v>
      </c>
      <c r="L20" s="44">
        <f t="shared" si="7"/>
        <v>35</v>
      </c>
      <c r="M20" s="44">
        <f t="shared" si="7"/>
        <v>35</v>
      </c>
      <c r="N20" s="44">
        <f t="shared" si="7"/>
        <v>35</v>
      </c>
      <c r="O20" s="44">
        <f t="shared" si="7"/>
        <v>35</v>
      </c>
      <c r="P20" s="33"/>
    </row>
    <row r="21" ht="21.95" customHeight="1" spans="2:22">
      <c r="B21" s="36"/>
      <c r="C21" s="37" t="s">
        <v>45</v>
      </c>
      <c r="D21" s="45" t="e">
        <f t="shared" ref="D21:O21" si="8">MAX(D17*(1-(D20/D18)^2.5),0)</f>
        <v>#DIV/0!</v>
      </c>
      <c r="E21" s="45" t="e">
        <f t="shared" si="8"/>
        <v>#DIV/0!</v>
      </c>
      <c r="F21" s="45" t="e">
        <f t="shared" si="8"/>
        <v>#DIV/0!</v>
      </c>
      <c r="G21" s="45" t="e">
        <f t="shared" si="8"/>
        <v>#DIV/0!</v>
      </c>
      <c r="H21" s="45" t="e">
        <f t="shared" si="8"/>
        <v>#DIV/0!</v>
      </c>
      <c r="I21" s="45" t="e">
        <f t="shared" si="8"/>
        <v>#DIV/0!</v>
      </c>
      <c r="J21" s="45" t="e">
        <f t="shared" si="8"/>
        <v>#DIV/0!</v>
      </c>
      <c r="K21" s="45" t="e">
        <f t="shared" si="8"/>
        <v>#DIV/0!</v>
      </c>
      <c r="L21" s="45" t="e">
        <f t="shared" si="8"/>
        <v>#DIV/0!</v>
      </c>
      <c r="M21" s="45" t="e">
        <f t="shared" si="8"/>
        <v>#DIV/0!</v>
      </c>
      <c r="N21" s="45" t="e">
        <f t="shared" si="8"/>
        <v>#DIV/0!</v>
      </c>
      <c r="O21" s="45" t="e">
        <f t="shared" si="8"/>
        <v>#DIV/0!</v>
      </c>
      <c r="P21" s="39" t="e">
        <f>MAX(SUM(D21:O21),0)</f>
        <v>#DIV/0!</v>
      </c>
      <c r="Q21" s="7" t="e">
        <f>P21/P17</f>
        <v>#DIV/0!</v>
      </c>
      <c r="V21" s="7" t="e">
        <f>P21/P27</f>
        <v>#DIV/0!</v>
      </c>
    </row>
    <row r="22" ht="21.95" customHeight="1" spans="2:22">
      <c r="B22" s="27" t="s">
        <v>46</v>
      </c>
      <c r="C22" s="40" t="s">
        <v>47</v>
      </c>
      <c r="D22" s="41">
        <f t="shared" ref="D22:O22" si="9">D27*$P$6</f>
        <v>0</v>
      </c>
      <c r="E22" s="41">
        <f t="shared" si="9"/>
        <v>0</v>
      </c>
      <c r="F22" s="41">
        <f t="shared" si="9"/>
        <v>0</v>
      </c>
      <c r="G22" s="41">
        <f t="shared" si="9"/>
        <v>0</v>
      </c>
      <c r="H22" s="41">
        <f t="shared" si="9"/>
        <v>0</v>
      </c>
      <c r="I22" s="41">
        <f t="shared" si="9"/>
        <v>0</v>
      </c>
      <c r="J22" s="41">
        <f t="shared" si="9"/>
        <v>0</v>
      </c>
      <c r="K22" s="41">
        <f t="shared" si="9"/>
        <v>0</v>
      </c>
      <c r="L22" s="41">
        <f t="shared" si="9"/>
        <v>0</v>
      </c>
      <c r="M22" s="41">
        <f t="shared" si="9"/>
        <v>0</v>
      </c>
      <c r="N22" s="41">
        <f t="shared" si="9"/>
        <v>0</v>
      </c>
      <c r="O22" s="41">
        <f t="shared" si="9"/>
        <v>0</v>
      </c>
      <c r="P22" s="42">
        <f>SUM(D22:O22)</f>
        <v>0</v>
      </c>
    </row>
    <row r="23" ht="21.95" customHeight="1" spans="2:22">
      <c r="B23" s="30"/>
      <c r="C23" s="31" t="s">
        <v>48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33"/>
    </row>
    <row r="24" ht="21.95" customHeight="1" spans="2:22">
      <c r="B24" s="30"/>
      <c r="C24" s="31" t="s">
        <v>49</v>
      </c>
      <c r="D24" s="32">
        <f>IF($H$4="华南",全国主要城市气象情况!D6,IF($H$4="华东",全国主要城市气象情况!D10,IF($H$4="华中",全国主要城市气象情况!D14,IF($H$4="西南",全国主要城市气象情况!D18,IF($H$4="西北",全国主要城市气象情况!D22,IF($H$4="华北",全国主要城市气象情况!D26,0))))))+0.5</f>
        <v>0.5</v>
      </c>
      <c r="E24" s="32">
        <f>IF($H$4="华南",全国主要城市气象情况!E6,IF($H$4="华东",全国主要城市气象情况!E10,IF($H$4="华中",全国主要城市气象情况!E14,IF($H$4="西南",全国主要城市气象情况!E18,IF($H$4="西北",全国主要城市气象情况!E22,IF($H$4="华北",全国主要城市气象情况!E26,0))))))+0.5</f>
        <v>0.5</v>
      </c>
      <c r="F24" s="32">
        <f>IF($H$4="华南",全国主要城市气象情况!F6,IF($H$4="华东",全国主要城市气象情况!F10,IF($H$4="华中",全国主要城市气象情况!F14,IF($H$4="西南",全国主要城市气象情况!F18,IF($H$4="西北",全国主要城市气象情况!F22,IF($H$4="华北",全国主要城市气象情况!F26,0))))))+0.5</f>
        <v>0.5</v>
      </c>
      <c r="G24" s="32">
        <f>IF($H$4="华南",全国主要城市气象情况!G6,IF($H$4="华东",全国主要城市气象情况!G10,IF($H$4="华中",全国主要城市气象情况!G14,IF($H$4="西南",全国主要城市气象情况!G18,IF($H$4="西北",全国主要城市气象情况!G22,IF($H$4="华北",全国主要城市气象情况!G26,0))))))+0.5</f>
        <v>0.5</v>
      </c>
      <c r="H24" s="32">
        <f>IF($H$4="华南",全国主要城市气象情况!H6,IF($H$4="华东",全国主要城市气象情况!H10,IF($H$4="华中",全国主要城市气象情况!H14,IF($H$4="西南",全国主要城市气象情况!H18,IF($H$4="西北",全国主要城市气象情况!H22,IF($H$4="华北",全国主要城市气象情况!H26,0))))))+0.5</f>
        <v>0.5</v>
      </c>
      <c r="I24" s="32">
        <f>IF($H$4="华南",全国主要城市气象情况!I6,IF($H$4="华东",全国主要城市气象情况!I10,IF($H$4="华中",全国主要城市气象情况!I14,IF($H$4="西南",全国主要城市气象情况!I18,IF($H$4="西北",全国主要城市气象情况!I22,IF($H$4="华北",全国主要城市气象情况!I26,0))))))+0.5</f>
        <v>0.5</v>
      </c>
      <c r="J24" s="32">
        <f>IF($H$4="华南",全国主要城市气象情况!J6,IF($H$4="华东",全国主要城市气象情况!J10,IF($H$4="华中",全国主要城市气象情况!J14,IF($H$4="西南",全国主要城市气象情况!J18,IF($H$4="西北",全国主要城市气象情况!J22,IF($H$4="华北",全国主要城市气象情况!J26,0))))))+0.5</f>
        <v>0.5</v>
      </c>
      <c r="K24" s="32">
        <f>IF($H$4="华南",全国主要城市气象情况!K6,IF($H$4="华东",全国主要城市气象情况!K10,IF($H$4="华中",全国主要城市气象情况!K14,IF($H$4="西南",全国主要城市气象情况!K18,IF($H$4="西北",全国主要城市气象情况!K22,IF($H$4="华北",全国主要城市气象情况!K26,0))))))+0.5</f>
        <v>0.5</v>
      </c>
      <c r="L24" s="32">
        <f>IF($H$4="华南",全国主要城市气象情况!L6,IF($H$4="华东",全国主要城市气象情况!L10,IF($H$4="华中",全国主要城市气象情况!L14,IF($H$4="西南",全国主要城市气象情况!L18,IF($H$4="西北",全国主要城市气象情况!L22,IF($H$4="华北",全国主要城市气象情况!L26,0))))))+0.5</f>
        <v>0.5</v>
      </c>
      <c r="M24" s="32">
        <f>IF($H$4="华南",全国主要城市气象情况!M6,IF($H$4="华东",全国主要城市气象情况!M10,IF($H$4="华中",全国主要城市气象情况!M14,IF($H$4="西南",全国主要城市气象情况!M18,IF($H$4="西北",全国主要城市气象情况!M22,IF($H$4="华北",全国主要城市气象情况!M26,0))))))+0.5</f>
        <v>0.5</v>
      </c>
      <c r="N24" s="32">
        <f>IF($H$4="华南",全国主要城市气象情况!N6,IF($H$4="华东",全国主要城市气象情况!N10,IF($H$4="华中",全国主要城市气象情况!N14,IF($H$4="西南",全国主要城市气象情况!N18,IF($H$4="西北",全国主要城市气象情况!N22,IF($H$4="华北",全国主要城市气象情况!N26,0))))))+0.5</f>
        <v>0.5</v>
      </c>
      <c r="O24" s="32">
        <f>IF($H$4="华南",全国主要城市气象情况!O6,IF($H$4="华东",全国主要城市气象情况!O10,IF($H$4="华中",全国主要城市气象情况!O14,IF($H$4="西南",全国主要城市气象情况!O18,IF($H$4="西北",全国主要城市气象情况!O22,IF($H$4="华北",全国主要城市气象情况!O26,0))))))+0.5</f>
        <v>0.5</v>
      </c>
      <c r="P24" s="33"/>
    </row>
    <row r="25" ht="21.95" customHeight="1" spans="2:22">
      <c r="B25" s="36"/>
      <c r="C25" s="47" t="s">
        <v>50</v>
      </c>
      <c r="D25" s="38">
        <f t="shared" ref="D25:O25" si="10">MAX(IF(D24&lt;D23,D8*0.015*(D23-D24),0))</f>
        <v>0</v>
      </c>
      <c r="E25" s="38">
        <f t="shared" si="10"/>
        <v>0</v>
      </c>
      <c r="F25" s="38">
        <f t="shared" si="10"/>
        <v>0</v>
      </c>
      <c r="G25" s="38">
        <f t="shared" si="10"/>
        <v>0</v>
      </c>
      <c r="H25" s="38">
        <f t="shared" si="10"/>
        <v>0</v>
      </c>
      <c r="I25" s="38">
        <f t="shared" si="10"/>
        <v>0</v>
      </c>
      <c r="J25" s="38">
        <f t="shared" si="10"/>
        <v>0</v>
      </c>
      <c r="K25" s="38">
        <f t="shared" si="10"/>
        <v>0</v>
      </c>
      <c r="L25" s="38">
        <f t="shared" si="10"/>
        <v>0</v>
      </c>
      <c r="M25" s="38">
        <f t="shared" si="10"/>
        <v>0</v>
      </c>
      <c r="N25" s="38">
        <f t="shared" si="10"/>
        <v>0</v>
      </c>
      <c r="O25" s="38">
        <f t="shared" si="10"/>
        <v>0</v>
      </c>
      <c r="P25" s="39">
        <f>MAX(SUM(D25:O25),0)</f>
        <v>0</v>
      </c>
      <c r="Q25" s="7" t="e">
        <f>P25/P8</f>
        <v>#DIV/0!</v>
      </c>
      <c r="V25" s="7" t="e">
        <f>P25/P27</f>
        <v>#DIV/0!</v>
      </c>
    </row>
    <row r="26" ht="6" customHeight="1" spans="2:22">
      <c r="B26" s="48"/>
      <c r="C26" s="49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1"/>
    </row>
    <row r="27" ht="21.95" customHeight="1" spans="2:22">
      <c r="B27" s="52" t="s">
        <v>51</v>
      </c>
      <c r="C27" s="31" t="s">
        <v>52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>
        <f>SUM(D27:O27)</f>
        <v>0</v>
      </c>
    </row>
    <row r="28" ht="21.95" customHeight="1" spans="2:22">
      <c r="B28" s="30"/>
      <c r="C28" s="31" t="s">
        <v>53</v>
      </c>
      <c r="D28" s="32" t="e">
        <f t="shared" ref="D28:O28" si="11">D11+D16+D21+D25</f>
        <v>#DIV/0!</v>
      </c>
      <c r="E28" s="32" t="e">
        <f t="shared" si="11"/>
        <v>#DIV/0!</v>
      </c>
      <c r="F28" s="32" t="e">
        <f t="shared" si="11"/>
        <v>#DIV/0!</v>
      </c>
      <c r="G28" s="32" t="e">
        <f t="shared" si="11"/>
        <v>#DIV/0!</v>
      </c>
      <c r="H28" s="32" t="e">
        <f t="shared" si="11"/>
        <v>#DIV/0!</v>
      </c>
      <c r="I28" s="32" t="e">
        <f t="shared" si="11"/>
        <v>#DIV/0!</v>
      </c>
      <c r="J28" s="32" t="e">
        <f t="shared" si="11"/>
        <v>#DIV/0!</v>
      </c>
      <c r="K28" s="32" t="e">
        <f t="shared" si="11"/>
        <v>#DIV/0!</v>
      </c>
      <c r="L28" s="32" t="e">
        <f t="shared" si="11"/>
        <v>#DIV/0!</v>
      </c>
      <c r="M28" s="32" t="e">
        <f t="shared" si="11"/>
        <v>#DIV/0!</v>
      </c>
      <c r="N28" s="32" t="e">
        <f t="shared" si="11"/>
        <v>#DIV/0!</v>
      </c>
      <c r="O28" s="32" t="e">
        <f t="shared" si="11"/>
        <v>#DIV/0!</v>
      </c>
      <c r="P28" s="54" t="e">
        <f>SUM(D28:O28)</f>
        <v>#DIV/0!</v>
      </c>
    </row>
    <row r="29" ht="21.95" customHeight="1" spans="2:22">
      <c r="B29" s="36"/>
      <c r="C29" s="37" t="s">
        <v>54</v>
      </c>
      <c r="D29" s="55" t="e">
        <f>P28/P27</f>
        <v>#DIV/0!</v>
      </c>
      <c r="E29" s="56"/>
      <c r="F29" s="57"/>
      <c r="G29" s="58" t="s">
        <v>55</v>
      </c>
      <c r="H29" s="57"/>
      <c r="I29" s="59">
        <v>0.8</v>
      </c>
      <c r="J29" s="56"/>
      <c r="K29" s="57"/>
      <c r="L29" s="60" t="s">
        <v>56</v>
      </c>
      <c r="M29" s="56"/>
      <c r="N29" s="61" t="e">
        <f>P28*I29</f>
        <v>#DIV/0!</v>
      </c>
      <c r="O29" s="56"/>
      <c r="P29" s="62"/>
    </row>
    <row r="30" spans="2:22">
      <c r="D30" s="63" t="e">
        <f t="shared" ref="D30:O30" si="12">D28/D27</f>
        <v>#DIV/0!</v>
      </c>
      <c r="E30" s="63" t="e">
        <f t="shared" si="12"/>
        <v>#DIV/0!</v>
      </c>
      <c r="F30" s="63" t="e">
        <f t="shared" si="12"/>
        <v>#DIV/0!</v>
      </c>
      <c r="G30" s="63" t="e">
        <f t="shared" si="12"/>
        <v>#DIV/0!</v>
      </c>
      <c r="H30" s="63" t="e">
        <f t="shared" si="12"/>
        <v>#DIV/0!</v>
      </c>
      <c r="I30" s="63" t="e">
        <f t="shared" si="12"/>
        <v>#DIV/0!</v>
      </c>
      <c r="J30" s="63" t="e">
        <f t="shared" si="12"/>
        <v>#DIV/0!</v>
      </c>
      <c r="K30" s="63" t="e">
        <f t="shared" si="12"/>
        <v>#DIV/0!</v>
      </c>
      <c r="L30" s="63" t="e">
        <f t="shared" si="12"/>
        <v>#DIV/0!</v>
      </c>
      <c r="M30" s="63" t="e">
        <f t="shared" si="12"/>
        <v>#DIV/0!</v>
      </c>
      <c r="N30" s="63" t="e">
        <f t="shared" si="12"/>
        <v>#DIV/0!</v>
      </c>
      <c r="O30" s="63" t="e">
        <f t="shared" si="12"/>
        <v>#DIV/0!</v>
      </c>
    </row>
  </sheetData>
  <mergeCells count="22">
    <mergeCell ref="B2:P2"/>
    <mergeCell ref="H3:I3"/>
    <mergeCell ref="J3:K3"/>
    <mergeCell ref="M3:O3"/>
    <mergeCell ref="J4:K4"/>
    <mergeCell ref="M4:O4"/>
    <mergeCell ref="J5:K5"/>
    <mergeCell ref="M5:O5"/>
    <mergeCell ref="J6:K6"/>
    <mergeCell ref="M6:O6"/>
    <mergeCell ref="D29:F29"/>
    <mergeCell ref="G29:H29"/>
    <mergeCell ref="I29:K29"/>
    <mergeCell ref="L29:M29"/>
    <mergeCell ref="N29:P29"/>
    <mergeCell ref="B7:B11"/>
    <mergeCell ref="B12:B16"/>
    <mergeCell ref="B17:B21"/>
    <mergeCell ref="B22:B25"/>
    <mergeCell ref="B27:B29"/>
    <mergeCell ref="H4:I6"/>
    <mergeCell ref="B3:G6"/>
  </mergeCells>
  <dataValidations count="1">
    <dataValidation type="list" allowBlank="1" showInputMessage="1" showErrorMessage="1" sqref="H4:I6">
      <formula1>$R$4:$R$9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30"/>
  <sheetViews>
    <sheetView showGridLines="0" tabSelected="1" zoomScale="90" zoomScaleNormal="90" workbookViewId="0">
      <selection activeCell="B3" sqref="B3:G6"/>
    </sheetView>
  </sheetViews>
  <sheetFormatPr defaultColWidth="9" defaultRowHeight="16.8"/>
  <cols>
    <col min="1" max="1" width="2.38392857142857" style="1" customWidth="1"/>
    <col min="2" max="2" width="14.5" style="1" customWidth="1"/>
    <col min="3" max="3" width="30.25" style="1" customWidth="1"/>
    <col min="4" max="9" width="9.63392857142857" style="1" customWidth="1"/>
    <col min="10" max="10" width="10.3839285714286" style="1" customWidth="1"/>
    <col min="11" max="11" width="10" style="1" customWidth="1"/>
    <col min="12" max="15" width="9.63392857142857" style="1" customWidth="1"/>
    <col min="16" max="16" width="9.88392857142857" style="1" customWidth="1"/>
    <col min="17" max="17" width="12.8928571428571" style="7" customWidth="1"/>
    <col min="18" max="21" width="9" style="1" hidden="1" customWidth="1"/>
    <col min="22" max="22" width="12.8928571428571" style="7" customWidth="1"/>
  </cols>
  <sheetData>
    <row r="1" ht="7.5" customHeight="1"/>
    <row r="2" ht="26.45" customHeight="1" spans="2:22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ht="26.45" customHeight="1" spans="2:22">
      <c r="B3" s="11" t="s">
        <v>1</v>
      </c>
      <c r="C3" s="12"/>
      <c r="D3" s="12"/>
      <c r="E3" s="12"/>
      <c r="F3" s="12"/>
      <c r="G3" s="12"/>
      <c r="H3" s="13" t="s">
        <v>2</v>
      </c>
      <c r="I3" s="14"/>
      <c r="J3" s="15" t="s">
        <v>3</v>
      </c>
      <c r="K3" s="16"/>
      <c r="L3" s="17">
        <v>5</v>
      </c>
      <c r="M3" s="13" t="s">
        <v>4</v>
      </c>
      <c r="N3" s="16"/>
      <c r="O3" s="14"/>
      <c r="P3" s="18">
        <v>0.7</v>
      </c>
      <c r="Q3" s="7">
        <v>1</v>
      </c>
    </row>
    <row r="4" ht="26.45" customHeight="1" spans="2:22">
      <c r="B4" s="19"/>
      <c r="C4" s="11"/>
      <c r="D4" s="11"/>
      <c r="E4" s="11"/>
      <c r="F4" s="11"/>
      <c r="G4" s="11"/>
      <c r="H4" s="20"/>
      <c r="I4" s="21"/>
      <c r="J4" s="15" t="s">
        <v>5</v>
      </c>
      <c r="K4" s="16"/>
      <c r="L4" s="17">
        <v>38</v>
      </c>
      <c r="M4" s="13" t="s">
        <v>6</v>
      </c>
      <c r="N4" s="16"/>
      <c r="O4" s="14"/>
      <c r="P4" s="18">
        <v>0.15</v>
      </c>
      <c r="R4" t="s">
        <v>7</v>
      </c>
    </row>
    <row r="5" ht="26.45" customHeight="1" spans="2:22">
      <c r="B5" s="19"/>
      <c r="C5" s="11"/>
      <c r="D5" s="11"/>
      <c r="E5" s="11"/>
      <c r="F5" s="11"/>
      <c r="G5" s="11"/>
      <c r="H5" s="22"/>
      <c r="I5" s="23"/>
      <c r="J5" s="15" t="s">
        <v>8</v>
      </c>
      <c r="K5" s="16"/>
      <c r="L5" s="17">
        <v>5</v>
      </c>
      <c r="M5" s="13" t="s">
        <v>9</v>
      </c>
      <c r="N5" s="16"/>
      <c r="O5" s="14"/>
      <c r="P5" s="18">
        <v>0.1</v>
      </c>
      <c r="R5" t="s">
        <v>10</v>
      </c>
    </row>
    <row r="6" ht="26.45" customHeight="1" spans="2:22">
      <c r="B6" s="19"/>
      <c r="C6" s="11"/>
      <c r="D6" s="11"/>
      <c r="E6" s="11"/>
      <c r="F6" s="11"/>
      <c r="G6" s="11"/>
      <c r="H6" s="22"/>
      <c r="I6" s="23"/>
      <c r="J6" s="24" t="s">
        <v>11</v>
      </c>
      <c r="K6" s="12"/>
      <c r="L6" s="20">
        <v>38</v>
      </c>
      <c r="M6" s="25" t="s">
        <v>12</v>
      </c>
      <c r="N6" s="12"/>
      <c r="O6" s="21"/>
      <c r="P6" s="26">
        <v>0.05</v>
      </c>
      <c r="R6" t="s">
        <v>13</v>
      </c>
    </row>
    <row r="7" ht="21.95" customHeight="1" spans="2:22">
      <c r="B7" s="27" t="s">
        <v>14</v>
      </c>
      <c r="C7" s="28" t="s">
        <v>15</v>
      </c>
      <c r="D7" s="28" t="s">
        <v>16</v>
      </c>
      <c r="E7" s="28" t="s">
        <v>17</v>
      </c>
      <c r="F7" s="28" t="s">
        <v>18</v>
      </c>
      <c r="G7" s="28" t="s">
        <v>19</v>
      </c>
      <c r="H7" s="28" t="s">
        <v>20</v>
      </c>
      <c r="I7" s="28" t="s">
        <v>21</v>
      </c>
      <c r="J7" s="28" t="s">
        <v>22</v>
      </c>
      <c r="K7" s="28" t="s">
        <v>23</v>
      </c>
      <c r="L7" s="28" t="s">
        <v>24</v>
      </c>
      <c r="M7" s="28" t="s">
        <v>25</v>
      </c>
      <c r="N7" s="28" t="s">
        <v>26</v>
      </c>
      <c r="O7" s="28" t="s">
        <v>27</v>
      </c>
      <c r="P7" s="29" t="s">
        <v>28</v>
      </c>
      <c r="R7" t="s">
        <v>29</v>
      </c>
    </row>
    <row r="8" ht="21.95" customHeight="1" spans="2:22">
      <c r="B8" s="30"/>
      <c r="C8" s="31" t="s">
        <v>30</v>
      </c>
      <c r="D8" s="32">
        <f t="shared" ref="D8:O8" si="0">D27*$P$3</f>
        <v>0</v>
      </c>
      <c r="E8" s="32">
        <f t="shared" si="0"/>
        <v>0</v>
      </c>
      <c r="F8" s="32">
        <f t="shared" si="0"/>
        <v>0</v>
      </c>
      <c r="G8" s="32">
        <f t="shared" si="0"/>
        <v>0</v>
      </c>
      <c r="H8" s="32">
        <f t="shared" si="0"/>
        <v>0</v>
      </c>
      <c r="I8" s="32">
        <f t="shared" si="0"/>
        <v>0</v>
      </c>
      <c r="J8" s="32">
        <f t="shared" si="0"/>
        <v>0</v>
      </c>
      <c r="K8" s="32">
        <f t="shared" si="0"/>
        <v>0</v>
      </c>
      <c r="L8" s="32">
        <f t="shared" si="0"/>
        <v>0</v>
      </c>
      <c r="M8" s="32">
        <f t="shared" si="0"/>
        <v>0</v>
      </c>
      <c r="N8" s="32">
        <f t="shared" si="0"/>
        <v>0</v>
      </c>
      <c r="O8" s="32">
        <f t="shared" si="0"/>
        <v>0</v>
      </c>
      <c r="P8" s="33">
        <f t="shared" ref="P8:P12" si="1">SUM(D8:O8)</f>
        <v>0</v>
      </c>
      <c r="R8" t="s">
        <v>31</v>
      </c>
    </row>
    <row r="9" ht="21.95" customHeight="1" spans="2:22">
      <c r="B9" s="30"/>
      <c r="C9" s="31" t="s">
        <v>32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3"/>
      <c r="R9" t="s">
        <v>33</v>
      </c>
    </row>
    <row r="10" ht="21.95" customHeight="1" spans="2:22">
      <c r="B10" s="30"/>
      <c r="C10" s="31" t="s">
        <v>34</v>
      </c>
      <c r="D10" s="35">
        <f>IF(D9&lt;8.5,D9+3,IF(D9&lt;10,D9+2,IF(D9&lt;12,D9+1,D9)))</f>
        <v>3</v>
      </c>
      <c r="E10" s="35">
        <f>IF(E9&lt;8.5,E9+2.5,IF(E9&lt;10,E9+2,IF(E9&lt;12,E9+1,E9)))</f>
        <v>2.5</v>
      </c>
      <c r="F10" s="35">
        <f>IF(F9&lt;8.5,F9+2,IF(F9&lt;10,F9+1.5,IF(F9&lt;12,F9+1,F9)))</f>
        <v>2</v>
      </c>
      <c r="G10" s="35">
        <f>IF(G9&lt;8.5,G9+1.5,IF(G9&lt;10,G9+1,IF(G9&lt;12,G9+0.5,G9)))</f>
        <v>1.5</v>
      </c>
      <c r="H10" s="35">
        <f>IF(H9&lt;8.5,H9+1,IF(H9&lt;10,H9+0.5,IF(H9&lt;12,H9,H9)))</f>
        <v>1</v>
      </c>
      <c r="I10" s="35">
        <f>IF(I9&lt;8.5,I9+0.5,IF(I9&lt;10,I9,IF(I9&lt;12,I9,I9)))</f>
        <v>0.5</v>
      </c>
      <c r="J10" s="35">
        <f>IF(J9&lt;8.5,J9+0.5,IF(J9&lt;10,J9,IF(J9&lt;12,J9,J9)))</f>
        <v>0.5</v>
      </c>
      <c r="K10" s="35">
        <f>IF(K9&lt;8.5,K9+0.5,IF(K9&lt;10,K9,IF(K9&lt;12,K9,K9)))</f>
        <v>0.5</v>
      </c>
      <c r="L10" s="35">
        <f>IF(L9&lt;8.5,L9+1,IF(L9&lt;10,L9+0.5,IF(L9&lt;12,L9,L9)))</f>
        <v>1</v>
      </c>
      <c r="M10" s="35">
        <f>IF(M9&lt;8.5,M9+1.5,IF(M9&lt;10,M9+1,IF(M9&lt;12,M9+0.5,M9)))</f>
        <v>1.5</v>
      </c>
      <c r="N10" s="35">
        <f>IF(N9&lt;8.5,N9+2,IF(N9&lt;10,N9+1.5,IF(N9&lt;12,N9+1,N9)))</f>
        <v>2</v>
      </c>
      <c r="O10" s="35">
        <f>IF(O9&lt;8.5,O9+2.5,IF(O9&lt;10,O9+2,IF(O9&lt;12,O9+1,O9)))</f>
        <v>2.5</v>
      </c>
      <c r="P10" s="33"/>
    </row>
    <row r="11" ht="21.95" customHeight="1" spans="2:22">
      <c r="B11" s="36"/>
      <c r="C11" s="37" t="s">
        <v>35</v>
      </c>
      <c r="D11" s="38">
        <f t="shared" ref="D11:O11" si="2">MAX(D8*(D10-D9)*0.04,0)</f>
        <v>0</v>
      </c>
      <c r="E11" s="38">
        <f t="shared" si="2"/>
        <v>0</v>
      </c>
      <c r="F11" s="38">
        <f t="shared" si="2"/>
        <v>0</v>
      </c>
      <c r="G11" s="38">
        <f t="shared" si="2"/>
        <v>0</v>
      </c>
      <c r="H11" s="38">
        <f t="shared" si="2"/>
        <v>0</v>
      </c>
      <c r="I11" s="38">
        <f t="shared" si="2"/>
        <v>0</v>
      </c>
      <c r="J11" s="38">
        <f t="shared" si="2"/>
        <v>0</v>
      </c>
      <c r="K11" s="38">
        <f t="shared" si="2"/>
        <v>0</v>
      </c>
      <c r="L11" s="38">
        <f t="shared" si="2"/>
        <v>0</v>
      </c>
      <c r="M11" s="38">
        <f t="shared" si="2"/>
        <v>0</v>
      </c>
      <c r="N11" s="38">
        <f t="shared" si="2"/>
        <v>0</v>
      </c>
      <c r="O11" s="38">
        <f t="shared" si="2"/>
        <v>0</v>
      </c>
      <c r="P11" s="39">
        <f>MAX(SUM(D11:O11),0)</f>
        <v>0</v>
      </c>
      <c r="Q11" s="7" t="e">
        <f>P11/P8</f>
        <v>#DIV/0!</v>
      </c>
      <c r="V11" s="7" t="e">
        <f>P11/P27</f>
        <v>#DIV/0!</v>
      </c>
    </row>
    <row r="12" ht="21.95" customHeight="1" spans="2:22">
      <c r="B12" s="27" t="s">
        <v>36</v>
      </c>
      <c r="C12" s="40" t="s">
        <v>37</v>
      </c>
      <c r="D12" s="41">
        <f t="shared" ref="D12:O12" si="3">D27*$P$4</f>
        <v>0</v>
      </c>
      <c r="E12" s="41">
        <f t="shared" si="3"/>
        <v>0</v>
      </c>
      <c r="F12" s="41">
        <f t="shared" si="3"/>
        <v>0</v>
      </c>
      <c r="G12" s="41">
        <f t="shared" si="3"/>
        <v>0</v>
      </c>
      <c r="H12" s="41">
        <f t="shared" si="3"/>
        <v>0</v>
      </c>
      <c r="I12" s="41">
        <f t="shared" si="3"/>
        <v>0</v>
      </c>
      <c r="J12" s="41">
        <f t="shared" si="3"/>
        <v>0</v>
      </c>
      <c r="K12" s="41">
        <f t="shared" si="3"/>
        <v>0</v>
      </c>
      <c r="L12" s="41">
        <f t="shared" si="3"/>
        <v>0</v>
      </c>
      <c r="M12" s="41">
        <f t="shared" si="3"/>
        <v>0</v>
      </c>
      <c r="N12" s="41">
        <f t="shared" si="3"/>
        <v>0</v>
      </c>
      <c r="O12" s="41">
        <f t="shared" si="3"/>
        <v>0</v>
      </c>
      <c r="P12" s="42">
        <f t="shared" si="1"/>
        <v>0</v>
      </c>
    </row>
    <row r="13" ht="21.95" customHeight="1" spans="2:22">
      <c r="B13" s="30"/>
      <c r="C13" s="31" t="s">
        <v>38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33"/>
    </row>
    <row r="14" ht="21.95" customHeight="1" spans="2:22">
      <c r="B14" s="30"/>
      <c r="C14" s="31" t="s">
        <v>39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33"/>
    </row>
    <row r="15" ht="21.95" customHeight="1" spans="2:22">
      <c r="B15" s="30"/>
      <c r="C15" s="31" t="s">
        <v>40</v>
      </c>
      <c r="D15" s="44">
        <f t="shared" ref="D15:O15" si="4">IF(D14&lt;=$L$3,IF(D14/$L$3*D13&lt;$L$4,$L$4,IF(D14/$L$3*D13&lt;=50,D14/$L$3*D13,50)),D13)</f>
        <v>38</v>
      </c>
      <c r="E15" s="44">
        <f t="shared" si="4"/>
        <v>38</v>
      </c>
      <c r="F15" s="44">
        <f t="shared" si="4"/>
        <v>38</v>
      </c>
      <c r="G15" s="44">
        <f t="shared" si="4"/>
        <v>38</v>
      </c>
      <c r="H15" s="44">
        <f t="shared" si="4"/>
        <v>38</v>
      </c>
      <c r="I15" s="44">
        <f t="shared" si="4"/>
        <v>38</v>
      </c>
      <c r="J15" s="44">
        <f t="shared" si="4"/>
        <v>38</v>
      </c>
      <c r="K15" s="44">
        <f t="shared" si="4"/>
        <v>38</v>
      </c>
      <c r="L15" s="44">
        <f t="shared" si="4"/>
        <v>38</v>
      </c>
      <c r="M15" s="44">
        <f t="shared" si="4"/>
        <v>38</v>
      </c>
      <c r="N15" s="44">
        <f t="shared" si="4"/>
        <v>38</v>
      </c>
      <c r="O15" s="44">
        <f t="shared" si="4"/>
        <v>38</v>
      </c>
      <c r="P15" s="33"/>
    </row>
    <row r="16" ht="21.95" customHeight="1" spans="2:22">
      <c r="B16" s="36"/>
      <c r="C16" s="37" t="s">
        <v>41</v>
      </c>
      <c r="D16" s="45" t="e">
        <f t="shared" ref="D16:O16" si="5">MAX(D12*(1-(D15/D13)^2.5),0)</f>
        <v>#DIV/0!</v>
      </c>
      <c r="E16" s="45" t="e">
        <f t="shared" si="5"/>
        <v>#DIV/0!</v>
      </c>
      <c r="F16" s="45" t="e">
        <f t="shared" si="5"/>
        <v>#DIV/0!</v>
      </c>
      <c r="G16" s="45" t="e">
        <f t="shared" si="5"/>
        <v>#DIV/0!</v>
      </c>
      <c r="H16" s="45" t="e">
        <f t="shared" si="5"/>
        <v>#DIV/0!</v>
      </c>
      <c r="I16" s="45" t="e">
        <f t="shared" si="5"/>
        <v>#DIV/0!</v>
      </c>
      <c r="J16" s="45" t="e">
        <f t="shared" si="5"/>
        <v>#DIV/0!</v>
      </c>
      <c r="K16" s="45" t="e">
        <f t="shared" si="5"/>
        <v>#DIV/0!</v>
      </c>
      <c r="L16" s="45" t="e">
        <f t="shared" si="5"/>
        <v>#DIV/0!</v>
      </c>
      <c r="M16" s="45" t="e">
        <f t="shared" si="5"/>
        <v>#DIV/0!</v>
      </c>
      <c r="N16" s="45" t="e">
        <f t="shared" si="5"/>
        <v>#DIV/0!</v>
      </c>
      <c r="O16" s="45" t="e">
        <f t="shared" si="5"/>
        <v>#DIV/0!</v>
      </c>
      <c r="P16" s="39" t="e">
        <f>MAX(SUM(D16:O16),0)</f>
        <v>#DIV/0!</v>
      </c>
      <c r="Q16" s="7" t="e">
        <f>P16/P12</f>
        <v>#DIV/0!</v>
      </c>
      <c r="V16" s="7" t="e">
        <f>P16/P27</f>
        <v>#DIV/0!</v>
      </c>
    </row>
    <row r="17" ht="21.95" customHeight="1" spans="2:22">
      <c r="B17" s="27" t="s">
        <v>42</v>
      </c>
      <c r="C17" s="40" t="s">
        <v>43</v>
      </c>
      <c r="D17" s="41">
        <f t="shared" ref="D17:O17" si="6">D27*$P$5</f>
        <v>0</v>
      </c>
      <c r="E17" s="41">
        <f t="shared" si="6"/>
        <v>0</v>
      </c>
      <c r="F17" s="41">
        <f t="shared" si="6"/>
        <v>0</v>
      </c>
      <c r="G17" s="41">
        <f t="shared" si="6"/>
        <v>0</v>
      </c>
      <c r="H17" s="41">
        <f t="shared" si="6"/>
        <v>0</v>
      </c>
      <c r="I17" s="41">
        <f t="shared" si="6"/>
        <v>0</v>
      </c>
      <c r="J17" s="41">
        <f t="shared" si="6"/>
        <v>0</v>
      </c>
      <c r="K17" s="41">
        <f t="shared" si="6"/>
        <v>0</v>
      </c>
      <c r="L17" s="41">
        <f t="shared" si="6"/>
        <v>0</v>
      </c>
      <c r="M17" s="41">
        <f t="shared" si="6"/>
        <v>0</v>
      </c>
      <c r="N17" s="41">
        <f t="shared" si="6"/>
        <v>0</v>
      </c>
      <c r="O17" s="41">
        <f t="shared" si="6"/>
        <v>0</v>
      </c>
      <c r="P17" s="42">
        <f>SUM(D17:O17)</f>
        <v>0</v>
      </c>
    </row>
    <row r="18" ht="21.95" customHeight="1" spans="2:22">
      <c r="B18" s="30"/>
      <c r="C18" s="31" t="s">
        <v>38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33"/>
    </row>
    <row r="19" ht="21.95" customHeight="1" spans="2:22">
      <c r="B19" s="30"/>
      <c r="C19" s="31" t="s">
        <v>44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33"/>
    </row>
    <row r="20" ht="21.95" customHeight="1" spans="2:22">
      <c r="B20" s="30"/>
      <c r="C20" s="31" t="s">
        <v>40</v>
      </c>
      <c r="D20" s="44">
        <f t="shared" ref="D20:O20" si="7">IF(D19&lt;=$L$5,IF(D19/$L$5*D18&lt;$L$6,$L$6,IF(D19/$L$5*D18&lt;=50,D19/$L$5*D18,50)),D18)</f>
        <v>38</v>
      </c>
      <c r="E20" s="44">
        <f t="shared" si="7"/>
        <v>38</v>
      </c>
      <c r="F20" s="44">
        <f t="shared" si="7"/>
        <v>38</v>
      </c>
      <c r="G20" s="44">
        <f t="shared" si="7"/>
        <v>38</v>
      </c>
      <c r="H20" s="44">
        <f t="shared" si="7"/>
        <v>38</v>
      </c>
      <c r="I20" s="44">
        <f t="shared" si="7"/>
        <v>38</v>
      </c>
      <c r="J20" s="44">
        <f t="shared" si="7"/>
        <v>38</v>
      </c>
      <c r="K20" s="44">
        <f t="shared" si="7"/>
        <v>38</v>
      </c>
      <c r="L20" s="44">
        <f t="shared" si="7"/>
        <v>38</v>
      </c>
      <c r="M20" s="44">
        <f t="shared" si="7"/>
        <v>38</v>
      </c>
      <c r="N20" s="44">
        <f t="shared" si="7"/>
        <v>38</v>
      </c>
      <c r="O20" s="44">
        <f t="shared" si="7"/>
        <v>38</v>
      </c>
      <c r="P20" s="33"/>
    </row>
    <row r="21" ht="21.95" customHeight="1" spans="2:22">
      <c r="B21" s="36"/>
      <c r="C21" s="37" t="s">
        <v>45</v>
      </c>
      <c r="D21" s="45" t="e">
        <f t="shared" ref="D21:O21" si="8">MAX(D17*(1-(D20/D18)^2.5),0)</f>
        <v>#DIV/0!</v>
      </c>
      <c r="E21" s="45" t="e">
        <f t="shared" si="8"/>
        <v>#DIV/0!</v>
      </c>
      <c r="F21" s="45" t="e">
        <f t="shared" si="8"/>
        <v>#DIV/0!</v>
      </c>
      <c r="G21" s="45" t="e">
        <f t="shared" si="8"/>
        <v>#DIV/0!</v>
      </c>
      <c r="H21" s="45" t="e">
        <f t="shared" si="8"/>
        <v>#DIV/0!</v>
      </c>
      <c r="I21" s="45" t="e">
        <f t="shared" si="8"/>
        <v>#DIV/0!</v>
      </c>
      <c r="J21" s="45" t="e">
        <f t="shared" si="8"/>
        <v>#DIV/0!</v>
      </c>
      <c r="K21" s="45" t="e">
        <f t="shared" si="8"/>
        <v>#DIV/0!</v>
      </c>
      <c r="L21" s="45" t="e">
        <f t="shared" si="8"/>
        <v>#DIV/0!</v>
      </c>
      <c r="M21" s="45" t="e">
        <f t="shared" si="8"/>
        <v>#DIV/0!</v>
      </c>
      <c r="N21" s="45" t="e">
        <f t="shared" si="8"/>
        <v>#DIV/0!</v>
      </c>
      <c r="O21" s="45" t="e">
        <f t="shared" si="8"/>
        <v>#DIV/0!</v>
      </c>
      <c r="P21" s="39" t="e">
        <f>MAX(SUM(D21:O21),0)</f>
        <v>#DIV/0!</v>
      </c>
      <c r="Q21" s="7" t="e">
        <f>P21/P17</f>
        <v>#DIV/0!</v>
      </c>
      <c r="V21" s="7" t="e">
        <f>P21/P27</f>
        <v>#DIV/0!</v>
      </c>
    </row>
    <row r="22" ht="21.95" customHeight="1" spans="2:22">
      <c r="B22" s="27" t="s">
        <v>46</v>
      </c>
      <c r="C22" s="40" t="s">
        <v>47</v>
      </c>
      <c r="D22" s="41">
        <f t="shared" ref="D22:O22" si="9">D27*$P$6</f>
        <v>0</v>
      </c>
      <c r="E22" s="41">
        <f t="shared" si="9"/>
        <v>0</v>
      </c>
      <c r="F22" s="41">
        <f t="shared" si="9"/>
        <v>0</v>
      </c>
      <c r="G22" s="41">
        <f t="shared" si="9"/>
        <v>0</v>
      </c>
      <c r="H22" s="41">
        <f t="shared" si="9"/>
        <v>0</v>
      </c>
      <c r="I22" s="41">
        <f t="shared" si="9"/>
        <v>0</v>
      </c>
      <c r="J22" s="41">
        <f t="shared" si="9"/>
        <v>0</v>
      </c>
      <c r="K22" s="41">
        <f t="shared" si="9"/>
        <v>0</v>
      </c>
      <c r="L22" s="41">
        <f t="shared" si="9"/>
        <v>0</v>
      </c>
      <c r="M22" s="41">
        <f t="shared" si="9"/>
        <v>0</v>
      </c>
      <c r="N22" s="41">
        <f t="shared" si="9"/>
        <v>0</v>
      </c>
      <c r="O22" s="41">
        <f t="shared" si="9"/>
        <v>0</v>
      </c>
      <c r="P22" s="42">
        <f>SUM(D22:O22)</f>
        <v>0</v>
      </c>
    </row>
    <row r="23" ht="21.95" customHeight="1" spans="2:22">
      <c r="B23" s="30"/>
      <c r="C23" s="31" t="s">
        <v>48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33"/>
    </row>
    <row r="24" ht="21.95" customHeight="1" spans="2:22">
      <c r="B24" s="30"/>
      <c r="C24" s="31" t="s">
        <v>49</v>
      </c>
      <c r="D24" s="32">
        <f>IF($H$4="华南",全国主要城市气象情况!D6,IF($H$4="华东",全国主要城市气象情况!D10,IF($H$4="华中",全国主要城市气象情况!D14,IF($H$4="西南",全国主要城市气象情况!D18,IF($H$4="西北",全国主要城市气象情况!D22,IF($H$4="华北",全国主要城市气象情况!D26,0))))))+1</f>
        <v>1</v>
      </c>
      <c r="E24" s="32">
        <f>IF($H$4="华南",全国主要城市气象情况!E6,IF($H$4="华东",全国主要城市气象情况!E10,IF($H$4="华中",全国主要城市气象情况!E14,IF($H$4="西南",全国主要城市气象情况!E18,IF($H$4="西北",全国主要城市气象情况!E22,IF($H$4="华北",全国主要城市气象情况!E26,0))))))+1</f>
        <v>1</v>
      </c>
      <c r="F24" s="32">
        <f>IF($H$4="华南",全国主要城市气象情况!F6,IF($H$4="华东",全国主要城市气象情况!F10,IF($H$4="华中",全国主要城市气象情况!F14,IF($H$4="西南",全国主要城市气象情况!F18,IF($H$4="西北",全国主要城市气象情况!F22,IF($H$4="华北",全国主要城市气象情况!F26,0))))))+1</f>
        <v>1</v>
      </c>
      <c r="G24" s="32">
        <f>IF($H$4="华南",全国主要城市气象情况!G6,IF($H$4="华东",全国主要城市气象情况!G10,IF($H$4="华中",全国主要城市气象情况!G14,IF($H$4="西南",全国主要城市气象情况!G18,IF($H$4="西北",全国主要城市气象情况!G22,IF($H$4="华北",全国主要城市气象情况!G26,0))))))+1</f>
        <v>1</v>
      </c>
      <c r="H24" s="32">
        <f>IF($H$4="华南",全国主要城市气象情况!H6,IF($H$4="华东",全国主要城市气象情况!H10,IF($H$4="华中",全国主要城市气象情况!H14,IF($H$4="西南",全国主要城市气象情况!H18,IF($H$4="西北",全国主要城市气象情况!H22,IF($H$4="华北",全国主要城市气象情况!H26,0))))))+1</f>
        <v>1</v>
      </c>
      <c r="I24" s="32">
        <f>IF($H$4="华南",全国主要城市气象情况!I6,IF($H$4="华东",全国主要城市气象情况!I10,IF($H$4="华中",全国主要城市气象情况!I14,IF($H$4="西南",全国主要城市气象情况!I18,IF($H$4="西北",全国主要城市气象情况!I22,IF($H$4="华北",全国主要城市气象情况!I26,0))))))+1</f>
        <v>1</v>
      </c>
      <c r="J24" s="32">
        <f>IF($H$4="华南",全国主要城市气象情况!J6,IF($H$4="华东",全国主要城市气象情况!J10,IF($H$4="华中",全国主要城市气象情况!J14,IF($H$4="西南",全国主要城市气象情况!J18,IF($H$4="西北",全国主要城市气象情况!J22,IF($H$4="华北",全国主要城市气象情况!J26,0))))))+1</f>
        <v>1</v>
      </c>
      <c r="K24" s="32">
        <f>IF($H$4="华南",全国主要城市气象情况!K6,IF($H$4="华东",全国主要城市气象情况!K10,IF($H$4="华中",全国主要城市气象情况!K14,IF($H$4="西南",全国主要城市气象情况!K18,IF($H$4="西北",全国主要城市气象情况!K22,IF($H$4="华北",全国主要城市气象情况!K26,0))))))+1</f>
        <v>1</v>
      </c>
      <c r="L24" s="32">
        <f>IF($H$4="华南",全国主要城市气象情况!L6,IF($H$4="华东",全国主要城市气象情况!L10,IF($H$4="华中",全国主要城市气象情况!L14,IF($H$4="西南",全国主要城市气象情况!L18,IF($H$4="西北",全国主要城市气象情况!L22,IF($H$4="华北",全国主要城市气象情况!L26,0))))))+1</f>
        <v>1</v>
      </c>
      <c r="M24" s="32">
        <f>IF($H$4="华南",全国主要城市气象情况!M6,IF($H$4="华东",全国主要城市气象情况!M10,IF($H$4="华中",全国主要城市气象情况!M14,IF($H$4="西南",全国主要城市气象情况!M18,IF($H$4="西北",全国主要城市气象情况!M22,IF($H$4="华北",全国主要城市气象情况!M26,0))))))+1</f>
        <v>1</v>
      </c>
      <c r="N24" s="32">
        <f>IF($H$4="华南",全国主要城市气象情况!N6,IF($H$4="华东",全国主要城市气象情况!N10,IF($H$4="华中",全国主要城市气象情况!N14,IF($H$4="西南",全国主要城市气象情况!N18,IF($H$4="西北",全国主要城市气象情况!N22,IF($H$4="华北",全国主要城市气象情况!N26,0))))))+1</f>
        <v>1</v>
      </c>
      <c r="O24" s="32">
        <f>IF($H$4="华南",全国主要城市气象情况!O6,IF($H$4="华东",全国主要城市气象情况!O10,IF($H$4="华中",全国主要城市气象情况!O14,IF($H$4="西南",全国主要城市气象情况!O18,IF($H$4="西北",全国主要城市气象情况!O22,IF($H$4="华北",全国主要城市气象情况!O26,0))))))+1</f>
        <v>1</v>
      </c>
      <c r="P24" s="33"/>
    </row>
    <row r="25" ht="21.95" customHeight="1" spans="2:22">
      <c r="B25" s="36"/>
      <c r="C25" s="47" t="s">
        <v>50</v>
      </c>
      <c r="D25" s="38">
        <f t="shared" ref="D25:O25" si="10">MAX(IF(D24&lt;D23,D8*0.015*(D23-D24),0),0)</f>
        <v>0</v>
      </c>
      <c r="E25" s="38">
        <f t="shared" si="10"/>
        <v>0</v>
      </c>
      <c r="F25" s="38">
        <f t="shared" si="10"/>
        <v>0</v>
      </c>
      <c r="G25" s="38">
        <f t="shared" si="10"/>
        <v>0</v>
      </c>
      <c r="H25" s="38">
        <f t="shared" si="10"/>
        <v>0</v>
      </c>
      <c r="I25" s="38">
        <f t="shared" si="10"/>
        <v>0</v>
      </c>
      <c r="J25" s="38">
        <f t="shared" si="10"/>
        <v>0</v>
      </c>
      <c r="K25" s="38">
        <f t="shared" si="10"/>
        <v>0</v>
      </c>
      <c r="L25" s="38">
        <f t="shared" si="10"/>
        <v>0</v>
      </c>
      <c r="M25" s="38">
        <f t="shared" si="10"/>
        <v>0</v>
      </c>
      <c r="N25" s="38">
        <f t="shared" si="10"/>
        <v>0</v>
      </c>
      <c r="O25" s="38">
        <f t="shared" si="10"/>
        <v>0</v>
      </c>
      <c r="P25" s="39">
        <f>MAX(SUM(D25:O25),0)</f>
        <v>0</v>
      </c>
      <c r="Q25" s="7" t="e">
        <f>P25/P8</f>
        <v>#DIV/0!</v>
      </c>
      <c r="V25" s="7" t="e">
        <f>P25/P27</f>
        <v>#DIV/0!</v>
      </c>
    </row>
    <row r="26" ht="6" customHeight="1" spans="2:22">
      <c r="B26" s="48"/>
      <c r="C26" s="49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1"/>
    </row>
    <row r="27" ht="21.95" customHeight="1" spans="2:22">
      <c r="B27" s="52" t="s">
        <v>51</v>
      </c>
      <c r="C27" s="31" t="s">
        <v>52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>
        <f t="shared" ref="P25:P28" si="11">SUM(D27:O27)</f>
        <v>0</v>
      </c>
    </row>
    <row r="28" ht="21.95" customHeight="1" spans="2:22">
      <c r="B28" s="30"/>
      <c r="C28" s="31" t="s">
        <v>53</v>
      </c>
      <c r="D28" s="32" t="e">
        <f t="shared" ref="D28:O28" si="12">D11+D16+D21+D25</f>
        <v>#DIV/0!</v>
      </c>
      <c r="E28" s="32" t="e">
        <f t="shared" si="12"/>
        <v>#DIV/0!</v>
      </c>
      <c r="F28" s="32" t="e">
        <f t="shared" si="12"/>
        <v>#DIV/0!</v>
      </c>
      <c r="G28" s="32" t="e">
        <f t="shared" si="12"/>
        <v>#DIV/0!</v>
      </c>
      <c r="H28" s="32" t="e">
        <f t="shared" si="12"/>
        <v>#DIV/0!</v>
      </c>
      <c r="I28" s="32" t="e">
        <f t="shared" si="12"/>
        <v>#DIV/0!</v>
      </c>
      <c r="J28" s="32" t="e">
        <f t="shared" si="12"/>
        <v>#DIV/0!</v>
      </c>
      <c r="K28" s="32" t="e">
        <f t="shared" si="12"/>
        <v>#DIV/0!</v>
      </c>
      <c r="L28" s="32" t="e">
        <f t="shared" si="12"/>
        <v>#DIV/0!</v>
      </c>
      <c r="M28" s="32" t="e">
        <f t="shared" si="12"/>
        <v>#DIV/0!</v>
      </c>
      <c r="N28" s="32" t="e">
        <f t="shared" si="12"/>
        <v>#DIV/0!</v>
      </c>
      <c r="O28" s="32" t="e">
        <f t="shared" si="12"/>
        <v>#DIV/0!</v>
      </c>
      <c r="P28" s="54" t="e">
        <f t="shared" si="11"/>
        <v>#DIV/0!</v>
      </c>
    </row>
    <row r="29" ht="21.95" customHeight="1" spans="2:22">
      <c r="B29" s="36"/>
      <c r="C29" s="37" t="s">
        <v>54</v>
      </c>
      <c r="D29" s="55" t="e">
        <f>P28/P27</f>
        <v>#DIV/0!</v>
      </c>
      <c r="E29" s="56"/>
      <c r="F29" s="57"/>
      <c r="G29" s="58" t="s">
        <v>55</v>
      </c>
      <c r="H29" s="57"/>
      <c r="I29" s="59">
        <v>0.8</v>
      </c>
      <c r="J29" s="56"/>
      <c r="K29" s="57"/>
      <c r="L29" s="60" t="s">
        <v>56</v>
      </c>
      <c r="M29" s="56"/>
      <c r="N29" s="61" t="e">
        <f>P28*I29</f>
        <v>#DIV/0!</v>
      </c>
      <c r="O29" s="56"/>
      <c r="P29" s="62"/>
    </row>
    <row r="30" spans="2:22">
      <c r="D30" s="63" t="e">
        <f t="shared" ref="D30:O30" si="13">D28/D27</f>
        <v>#DIV/0!</v>
      </c>
      <c r="E30" s="63" t="e">
        <f t="shared" si="13"/>
        <v>#DIV/0!</v>
      </c>
      <c r="F30" s="63" t="e">
        <f t="shared" si="13"/>
        <v>#DIV/0!</v>
      </c>
      <c r="G30" s="63" t="e">
        <f t="shared" si="13"/>
        <v>#DIV/0!</v>
      </c>
      <c r="H30" s="63" t="e">
        <f t="shared" si="13"/>
        <v>#DIV/0!</v>
      </c>
      <c r="I30" s="63" t="e">
        <f t="shared" si="13"/>
        <v>#DIV/0!</v>
      </c>
      <c r="J30" s="63" t="e">
        <f t="shared" si="13"/>
        <v>#DIV/0!</v>
      </c>
      <c r="K30" s="63" t="e">
        <f t="shared" si="13"/>
        <v>#DIV/0!</v>
      </c>
      <c r="L30" s="63" t="e">
        <f t="shared" si="13"/>
        <v>#DIV/0!</v>
      </c>
      <c r="M30" s="63" t="e">
        <f t="shared" si="13"/>
        <v>#DIV/0!</v>
      </c>
      <c r="N30" s="63" t="e">
        <f t="shared" si="13"/>
        <v>#DIV/0!</v>
      </c>
      <c r="O30" s="63" t="e">
        <f t="shared" si="13"/>
        <v>#DIV/0!</v>
      </c>
    </row>
  </sheetData>
  <mergeCells count="22">
    <mergeCell ref="B2:P2"/>
    <mergeCell ref="H3:I3"/>
    <mergeCell ref="J3:K3"/>
    <mergeCell ref="M3:O3"/>
    <mergeCell ref="J4:K4"/>
    <mergeCell ref="M4:O4"/>
    <mergeCell ref="J5:K5"/>
    <mergeCell ref="M5:O5"/>
    <mergeCell ref="J6:K6"/>
    <mergeCell ref="M6:O6"/>
    <mergeCell ref="D29:F29"/>
    <mergeCell ref="G29:H29"/>
    <mergeCell ref="I29:K29"/>
    <mergeCell ref="L29:M29"/>
    <mergeCell ref="N29:P29"/>
    <mergeCell ref="B7:B11"/>
    <mergeCell ref="B12:B16"/>
    <mergeCell ref="B17:B21"/>
    <mergeCell ref="B22:B25"/>
    <mergeCell ref="B27:B29"/>
    <mergeCell ref="B3:G6"/>
    <mergeCell ref="H4:I6"/>
  </mergeCells>
  <dataValidations count="1">
    <dataValidation type="list" allowBlank="1" showInputMessage="1" showErrorMessage="1" sqref="H4:I6">
      <formula1>$R$4:$R$9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6"/>
  <sheetViews>
    <sheetView zoomScale="115" zoomScaleNormal="115" workbookViewId="0">
      <selection activeCell="G31" sqref="G31"/>
    </sheetView>
  </sheetViews>
  <sheetFormatPr defaultColWidth="9" defaultRowHeight="16.8"/>
  <cols>
    <col min="1" max="1" width="3.25" style="1" customWidth="1"/>
    <col min="3" max="3" width="15.3839285714286" style="1" customWidth="1"/>
    <col min="4" max="5" width="11" style="1" customWidth="1"/>
    <col min="6" max="14" width="12.1339285714286" style="1" customWidth="1"/>
    <col min="15" max="15" width="11" style="1" customWidth="1"/>
  </cols>
  <sheetData>
    <row r="2" ht="17" customHeight="1" spans="2:15">
      <c r="B2" s="2" t="s">
        <v>57</v>
      </c>
      <c r="C2" s="2" t="s">
        <v>58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59</v>
      </c>
      <c r="L2" s="2" t="s">
        <v>24</v>
      </c>
      <c r="M2" s="2" t="s">
        <v>25</v>
      </c>
      <c r="N2" s="2" t="s">
        <v>26</v>
      </c>
      <c r="O2" s="2" t="s">
        <v>27</v>
      </c>
    </row>
    <row r="3" ht="17" customHeight="1" spans="2:15">
      <c r="B3" s="2" t="s">
        <v>60</v>
      </c>
      <c r="C3" s="2" t="s">
        <v>61</v>
      </c>
      <c r="D3" s="3">
        <v>14.7</v>
      </c>
      <c r="E3" s="3">
        <v>19.5</v>
      </c>
      <c r="F3" s="3">
        <v>21.7</v>
      </c>
      <c r="G3" s="3">
        <v>24.1</v>
      </c>
      <c r="H3" s="3">
        <v>29.1</v>
      </c>
      <c r="I3" s="3">
        <v>28.6</v>
      </c>
      <c r="J3" s="3">
        <v>30.3</v>
      </c>
      <c r="K3" s="3">
        <v>29</v>
      </c>
      <c r="L3" s="3">
        <v>30</v>
      </c>
      <c r="M3" s="3">
        <v>24.4</v>
      </c>
      <c r="N3" s="3">
        <v>20.4</v>
      </c>
      <c r="O3" s="3">
        <v>16.4</v>
      </c>
    </row>
    <row r="4" ht="17" customHeight="1" spans="2:15">
      <c r="B4" s="4"/>
      <c r="C4" s="2" t="s">
        <v>62</v>
      </c>
      <c r="D4" s="3">
        <v>54.1</v>
      </c>
      <c r="E4" s="3">
        <v>69.5</v>
      </c>
      <c r="F4" s="3">
        <v>76.5</v>
      </c>
      <c r="G4" s="3">
        <v>77.9</v>
      </c>
      <c r="H4" s="3">
        <v>77.1</v>
      </c>
      <c r="I4" s="3">
        <v>83.1</v>
      </c>
      <c r="J4" s="3">
        <v>76.1</v>
      </c>
      <c r="K4" s="3">
        <v>83.1</v>
      </c>
      <c r="L4" s="3">
        <v>76.3</v>
      </c>
      <c r="M4" s="3">
        <v>75.2</v>
      </c>
      <c r="N4" s="3">
        <v>63.9</v>
      </c>
      <c r="O4" s="3">
        <v>63.7</v>
      </c>
    </row>
    <row r="5" ht="17" customHeight="1" spans="2:15">
      <c r="B5" s="4"/>
      <c r="C5" s="2" t="s">
        <v>63</v>
      </c>
      <c r="D5" s="3">
        <v>9.92644743894</v>
      </c>
      <c r="E5" s="3">
        <v>17.537153125</v>
      </c>
      <c r="F5" s="3">
        <v>18.9183589142</v>
      </c>
      <c r="G5" s="3">
        <v>21.33389353766</v>
      </c>
      <c r="H5" s="3">
        <v>25.9102036504</v>
      </c>
      <c r="I5" s="3">
        <v>26.2407115751</v>
      </c>
      <c r="J5" s="3">
        <v>26.88999057382</v>
      </c>
      <c r="K5" s="3">
        <v>26.6213259217</v>
      </c>
      <c r="L5" s="3">
        <v>26.638617876</v>
      </c>
      <c r="M5" s="3">
        <v>21.27037607552</v>
      </c>
      <c r="N5" s="3">
        <v>18.1458614328</v>
      </c>
      <c r="O5" s="3">
        <v>12.53889701032</v>
      </c>
    </row>
    <row r="6" ht="17" customHeight="1" spans="2:15">
      <c r="B6" s="5"/>
      <c r="C6" s="2" t="s">
        <v>64</v>
      </c>
      <c r="D6" s="3">
        <v>21</v>
      </c>
      <c r="E6" s="3">
        <v>22.037153125</v>
      </c>
      <c r="F6" s="3">
        <v>23.4183589142</v>
      </c>
      <c r="G6" s="3">
        <v>25.83389353766</v>
      </c>
      <c r="H6" s="3">
        <v>30.4102036504</v>
      </c>
      <c r="I6" s="3">
        <v>30.7407115751</v>
      </c>
      <c r="J6" s="3">
        <v>31.38999057382</v>
      </c>
      <c r="K6" s="3">
        <v>31.1213259217</v>
      </c>
      <c r="L6" s="3">
        <v>31.138617876</v>
      </c>
      <c r="M6" s="3">
        <v>25.77037607552</v>
      </c>
      <c r="N6" s="3">
        <v>22.6458614328</v>
      </c>
      <c r="O6" s="3">
        <v>21</v>
      </c>
    </row>
    <row r="7" ht="17" customHeight="1" spans="2:15">
      <c r="B7" s="2" t="s">
        <v>65</v>
      </c>
      <c r="C7" s="2" t="s">
        <v>61</v>
      </c>
      <c r="D7" s="3">
        <v>6.6</v>
      </c>
      <c r="E7" s="3">
        <v>5.8</v>
      </c>
      <c r="F7" s="3">
        <v>13.3</v>
      </c>
      <c r="G7" s="3">
        <v>17.1</v>
      </c>
      <c r="H7" s="3">
        <v>20.2</v>
      </c>
      <c r="I7" s="3">
        <v>26.1</v>
      </c>
      <c r="J7" s="3">
        <v>31.1</v>
      </c>
      <c r="K7" s="3">
        <v>31</v>
      </c>
      <c r="L7" s="3">
        <v>24.3</v>
      </c>
      <c r="M7" s="3">
        <v>18.8</v>
      </c>
      <c r="N7" s="3">
        <v>16.1</v>
      </c>
      <c r="O7" s="3">
        <v>6.4</v>
      </c>
    </row>
    <row r="8" ht="17" customHeight="1" spans="2:15">
      <c r="B8" s="4"/>
      <c r="C8" s="2" t="s">
        <v>62</v>
      </c>
      <c r="D8" s="3">
        <v>71</v>
      </c>
      <c r="E8" s="3">
        <v>65</v>
      </c>
      <c r="F8" s="3">
        <v>69</v>
      </c>
      <c r="G8" s="3">
        <v>66</v>
      </c>
      <c r="H8" s="3">
        <v>68</v>
      </c>
      <c r="I8" s="3">
        <v>79</v>
      </c>
      <c r="J8" s="3">
        <v>73</v>
      </c>
      <c r="K8" s="3">
        <v>73</v>
      </c>
      <c r="L8" s="3">
        <v>78</v>
      </c>
      <c r="M8" s="3">
        <v>71</v>
      </c>
      <c r="N8" s="3">
        <v>80</v>
      </c>
      <c r="O8" s="3">
        <v>61</v>
      </c>
    </row>
    <row r="9" ht="17" customHeight="1" spans="2:15">
      <c r="B9" s="4"/>
      <c r="C9" s="2" t="s">
        <v>63</v>
      </c>
      <c r="D9" s="3">
        <v>4.3157967952</v>
      </c>
      <c r="E9" s="3">
        <v>3.074247164</v>
      </c>
      <c r="F9" s="3">
        <v>10.3087855727</v>
      </c>
      <c r="G9" s="3">
        <v>13.4376952012</v>
      </c>
      <c r="H9" s="3">
        <v>16.4896763984</v>
      </c>
      <c r="I9" s="3">
        <v>23.3501692773</v>
      </c>
      <c r="J9" s="3">
        <v>27.1708864051</v>
      </c>
      <c r="K9" s="3">
        <v>27.07842148</v>
      </c>
      <c r="L9" s="3">
        <v>21.5337937744</v>
      </c>
      <c r="M9" s="3">
        <v>15.5757571248</v>
      </c>
      <c r="N9" s="3">
        <v>14.060792217</v>
      </c>
      <c r="O9" s="3">
        <v>3.2873990632</v>
      </c>
    </row>
    <row r="10" ht="17" customHeight="1" spans="2:15">
      <c r="B10" s="5"/>
      <c r="C10" s="2" t="s">
        <v>64</v>
      </c>
      <c r="D10" s="3">
        <v>21</v>
      </c>
      <c r="E10" s="3">
        <v>21.8</v>
      </c>
      <c r="F10" s="3">
        <v>22.5</v>
      </c>
      <c r="G10" s="3">
        <v>24.2</v>
      </c>
      <c r="H10" s="3">
        <v>26.1</v>
      </c>
      <c r="I10" s="3">
        <v>27.85</v>
      </c>
      <c r="J10" s="3">
        <v>31.67</v>
      </c>
      <c r="K10" s="3">
        <v>31.58</v>
      </c>
      <c r="L10" s="3">
        <v>26.03</v>
      </c>
      <c r="M10" s="3">
        <v>24.3</v>
      </c>
      <c r="N10" s="3">
        <v>22.6</v>
      </c>
      <c r="O10" s="3">
        <v>21</v>
      </c>
    </row>
    <row r="11" ht="17" customHeight="1" spans="2:15">
      <c r="B11" s="2" t="s">
        <v>66</v>
      </c>
      <c r="C11" s="2" t="s">
        <v>61</v>
      </c>
      <c r="D11" s="3">
        <v>4.7</v>
      </c>
      <c r="E11" s="3">
        <v>4.9</v>
      </c>
      <c r="F11" s="3">
        <v>14.1</v>
      </c>
      <c r="G11" s="3">
        <v>18.4</v>
      </c>
      <c r="H11" s="3">
        <v>21.2</v>
      </c>
      <c r="I11" s="3">
        <v>27.7</v>
      </c>
      <c r="J11" s="3">
        <v>30.1</v>
      </c>
      <c r="K11" s="3">
        <v>31.3</v>
      </c>
      <c r="L11" s="3">
        <v>25.1</v>
      </c>
      <c r="M11" s="3">
        <v>17.6</v>
      </c>
      <c r="N11" s="3">
        <v>14.2</v>
      </c>
      <c r="O11" s="3">
        <v>4.6</v>
      </c>
    </row>
    <row r="12" ht="17" customHeight="1" spans="2:15">
      <c r="B12" s="4"/>
      <c r="C12" s="2" t="s">
        <v>62</v>
      </c>
      <c r="D12" s="3">
        <v>85</v>
      </c>
      <c r="E12" s="3">
        <v>79</v>
      </c>
      <c r="F12" s="3">
        <v>78</v>
      </c>
      <c r="G12" s="3">
        <v>72</v>
      </c>
      <c r="H12" s="3">
        <v>76</v>
      </c>
      <c r="I12" s="3">
        <v>78</v>
      </c>
      <c r="J12" s="3">
        <v>77</v>
      </c>
      <c r="K12" s="3">
        <v>67</v>
      </c>
      <c r="L12" s="3">
        <v>62</v>
      </c>
      <c r="M12" s="3">
        <v>73</v>
      </c>
      <c r="N12" s="3">
        <v>80</v>
      </c>
      <c r="O12" s="3">
        <v>67</v>
      </c>
    </row>
    <row r="13" ht="17" customHeight="1" spans="2:15">
      <c r="B13" s="4"/>
      <c r="C13" s="2" t="s">
        <v>63</v>
      </c>
      <c r="D13" s="3">
        <v>3.7132789735</v>
      </c>
      <c r="E13" s="3">
        <v>3.3960684733</v>
      </c>
      <c r="F13" s="3">
        <v>11.9745539596</v>
      </c>
      <c r="G13" s="3">
        <v>15.3249058304</v>
      </c>
      <c r="H13" s="3">
        <v>18.3920800768</v>
      </c>
      <c r="I13" s="3">
        <v>24.7214074364</v>
      </c>
      <c r="J13" s="3">
        <v>26.8324597079</v>
      </c>
      <c r="K13" s="3">
        <v>26.3954534281</v>
      </c>
      <c r="L13" s="3">
        <v>20.0606119824</v>
      </c>
      <c r="M13" s="3">
        <v>14.7010034056</v>
      </c>
      <c r="N13" s="3">
        <v>12.270657152</v>
      </c>
      <c r="O13" s="3">
        <v>2.1345461944</v>
      </c>
    </row>
    <row r="14" ht="17" customHeight="1" spans="2:15">
      <c r="B14" s="5"/>
      <c r="C14" s="2" t="s">
        <v>64</v>
      </c>
      <c r="D14" s="3">
        <v>21</v>
      </c>
      <c r="E14" s="3">
        <v>21.45</v>
      </c>
      <c r="F14" s="3">
        <v>21.92</v>
      </c>
      <c r="G14" s="3">
        <v>22.4</v>
      </c>
      <c r="H14" s="3">
        <v>22.89</v>
      </c>
      <c r="I14" s="3">
        <v>29.22</v>
      </c>
      <c r="J14" s="3">
        <v>31.33</v>
      </c>
      <c r="K14" s="3">
        <v>30.9</v>
      </c>
      <c r="L14" s="3">
        <v>24.56</v>
      </c>
      <c r="M14" s="3">
        <v>23.35</v>
      </c>
      <c r="N14" s="3">
        <v>22.15</v>
      </c>
      <c r="O14" s="3">
        <v>21</v>
      </c>
    </row>
    <row r="15" ht="17" customHeight="1" spans="2:15">
      <c r="B15" s="2" t="s">
        <v>67</v>
      </c>
      <c r="C15" s="2" t="s">
        <v>61</v>
      </c>
      <c r="D15" s="3">
        <v>7.5</v>
      </c>
      <c r="E15" s="3">
        <v>7</v>
      </c>
      <c r="F15" s="3">
        <v>16.8</v>
      </c>
      <c r="G15" s="3">
        <v>18.1</v>
      </c>
      <c r="H15" s="3">
        <v>20.6</v>
      </c>
      <c r="I15" s="3">
        <v>25.5</v>
      </c>
      <c r="J15" s="3">
        <v>28.4</v>
      </c>
      <c r="K15" s="3">
        <v>29.9</v>
      </c>
      <c r="L15" s="3">
        <v>21.2</v>
      </c>
      <c r="M15" s="3">
        <v>17.7</v>
      </c>
      <c r="N15" s="3">
        <v>15</v>
      </c>
      <c r="O15" s="3">
        <v>7.1</v>
      </c>
    </row>
    <row r="16" ht="17" customHeight="1" spans="2:15">
      <c r="B16" s="4"/>
      <c r="C16" s="2" t="s">
        <v>62</v>
      </c>
      <c r="D16" s="3">
        <v>84</v>
      </c>
      <c r="E16" s="3">
        <v>81</v>
      </c>
      <c r="F16" s="3">
        <v>70</v>
      </c>
      <c r="G16" s="3">
        <v>73</v>
      </c>
      <c r="H16" s="3">
        <v>77</v>
      </c>
      <c r="I16" s="3">
        <v>79</v>
      </c>
      <c r="J16" s="3">
        <v>71</v>
      </c>
      <c r="K16" s="3">
        <v>69</v>
      </c>
      <c r="L16" s="3">
        <v>85</v>
      </c>
      <c r="M16" s="3">
        <v>81</v>
      </c>
      <c r="N16" s="3">
        <v>78</v>
      </c>
      <c r="O16" s="3">
        <v>76</v>
      </c>
    </row>
    <row r="17" ht="17" customHeight="1" spans="2:15">
      <c r="B17" s="4"/>
      <c r="C17" s="2" t="s">
        <v>63</v>
      </c>
      <c r="D17" s="3">
        <v>6.298148725</v>
      </c>
      <c r="E17" s="3">
        <v>5.55827204</v>
      </c>
      <c r="F17" s="3">
        <v>13.624885008</v>
      </c>
      <c r="G17" s="3">
        <v>15.1633104091</v>
      </c>
      <c r="H17" s="3">
        <v>17.9507805744</v>
      </c>
      <c r="I17" s="3">
        <v>22.7861569725</v>
      </c>
      <c r="J17" s="3">
        <v>24.3825973872</v>
      </c>
      <c r="K17" s="3">
        <v>25.4483789263</v>
      </c>
      <c r="L17" s="3">
        <v>19.425838336</v>
      </c>
      <c r="M17" s="3">
        <v>15.6749008603</v>
      </c>
      <c r="N17" s="3">
        <v>12.8189683</v>
      </c>
      <c r="O17" s="3">
        <v>5.2153276882</v>
      </c>
    </row>
    <row r="18" ht="17" customHeight="1" spans="2:15">
      <c r="B18" s="5"/>
      <c r="C18" s="2" t="s">
        <v>64</v>
      </c>
      <c r="D18" s="3">
        <v>21</v>
      </c>
      <c r="E18" s="3">
        <v>21.35</v>
      </c>
      <c r="F18" s="3">
        <v>21.75</v>
      </c>
      <c r="G18" s="3">
        <v>22.1</v>
      </c>
      <c r="H18" s="3">
        <v>22.45</v>
      </c>
      <c r="I18" s="3">
        <v>27.29</v>
      </c>
      <c r="J18" s="3">
        <v>28.88</v>
      </c>
      <c r="K18" s="3">
        <v>29.95</v>
      </c>
      <c r="L18" s="3">
        <v>23.93</v>
      </c>
      <c r="M18" s="3">
        <v>22.8</v>
      </c>
      <c r="N18" s="3">
        <v>21.7</v>
      </c>
      <c r="O18" s="3">
        <v>21</v>
      </c>
    </row>
    <row r="19" ht="17" customHeight="1" spans="2:15">
      <c r="B19" s="6" t="s">
        <v>68</v>
      </c>
      <c r="C19" s="2" t="s">
        <v>61</v>
      </c>
      <c r="D19" s="3">
        <v>2.4</v>
      </c>
      <c r="E19" s="3">
        <v>3.9</v>
      </c>
      <c r="F19" s="3">
        <v>13</v>
      </c>
      <c r="G19" s="3">
        <v>17.6</v>
      </c>
      <c r="H19" s="3">
        <v>21</v>
      </c>
      <c r="I19" s="3">
        <v>28.4</v>
      </c>
      <c r="J19" s="3">
        <v>27.4</v>
      </c>
      <c r="K19" s="3">
        <v>27.8</v>
      </c>
      <c r="L19" s="3">
        <v>21.3</v>
      </c>
      <c r="M19" s="3">
        <v>13.8</v>
      </c>
      <c r="N19" s="3">
        <v>9.5</v>
      </c>
      <c r="O19" s="3">
        <v>2.2</v>
      </c>
    </row>
    <row r="20" ht="17" customHeight="1" spans="2:15">
      <c r="B20" s="4"/>
      <c r="C20" s="2" t="s">
        <v>62</v>
      </c>
      <c r="D20" s="3">
        <v>67</v>
      </c>
      <c r="E20" s="3">
        <v>56</v>
      </c>
      <c r="F20" s="3">
        <v>52</v>
      </c>
      <c r="G20" s="3">
        <v>49</v>
      </c>
      <c r="H20" s="3">
        <v>53</v>
      </c>
      <c r="I20" s="3">
        <v>48</v>
      </c>
      <c r="J20" s="3">
        <v>68</v>
      </c>
      <c r="K20" s="3">
        <v>68</v>
      </c>
      <c r="L20" s="3">
        <v>70</v>
      </c>
      <c r="M20" s="3">
        <v>76</v>
      </c>
      <c r="N20" s="3">
        <v>76</v>
      </c>
      <c r="O20" s="3">
        <v>49</v>
      </c>
    </row>
    <row r="21" ht="17" customHeight="1" spans="2:15">
      <c r="B21" s="4"/>
      <c r="C21" s="2" t="s">
        <v>63</v>
      </c>
      <c r="D21" s="3">
        <v>0.1031318424</v>
      </c>
      <c r="E21" s="3">
        <v>0.6576486022</v>
      </c>
      <c r="F21" s="3">
        <v>8.22962932</v>
      </c>
      <c r="G21" s="3">
        <v>11.7567307528</v>
      </c>
      <c r="H21" s="3">
        <v>15.17386558</v>
      </c>
      <c r="I21" s="3">
        <v>20.5172138176</v>
      </c>
      <c r="J21" s="3">
        <v>23.0232430736</v>
      </c>
      <c r="K21" s="3">
        <v>23.3859744624</v>
      </c>
      <c r="L21" s="3">
        <v>17.744652378</v>
      </c>
      <c r="M21" s="3">
        <v>11.4904928688</v>
      </c>
      <c r="N21" s="3">
        <v>7.467363565</v>
      </c>
      <c r="O21" s="3">
        <v>-1.3148897168</v>
      </c>
    </row>
    <row r="22" ht="17" customHeight="1" spans="2:15">
      <c r="B22" s="5"/>
      <c r="C22" s="2" t="s">
        <v>64</v>
      </c>
      <c r="D22" s="3">
        <v>21</v>
      </c>
      <c r="E22" s="3">
        <v>21.7</v>
      </c>
      <c r="F22" s="3">
        <v>22.3</v>
      </c>
      <c r="G22" s="3">
        <v>23.65</v>
      </c>
      <c r="H22" s="3">
        <v>24.4</v>
      </c>
      <c r="I22" s="3">
        <v>25.02</v>
      </c>
      <c r="J22" s="3">
        <v>27.52</v>
      </c>
      <c r="K22" s="3">
        <v>27.89</v>
      </c>
      <c r="L22" s="3">
        <v>22.24</v>
      </c>
      <c r="M22" s="3">
        <v>21.8</v>
      </c>
      <c r="N22" s="3">
        <v>21.4</v>
      </c>
      <c r="O22" s="3">
        <v>21</v>
      </c>
    </row>
    <row r="23" ht="17" customHeight="1" spans="2:15">
      <c r="B23" s="6" t="s">
        <v>69</v>
      </c>
      <c r="C23" s="2" t="s">
        <v>61</v>
      </c>
      <c r="D23" s="3">
        <v>1.3</v>
      </c>
      <c r="E23" s="3">
        <v>2.8</v>
      </c>
      <c r="F23" s="3">
        <v>10.4</v>
      </c>
      <c r="G23" s="3">
        <v>17.3</v>
      </c>
      <c r="H23" s="3">
        <v>22</v>
      </c>
      <c r="I23" s="3">
        <v>28</v>
      </c>
      <c r="J23" s="3">
        <v>26.6</v>
      </c>
      <c r="K23" s="3">
        <v>26.4</v>
      </c>
      <c r="L23" s="3">
        <v>22.6</v>
      </c>
      <c r="M23" s="3">
        <v>14.6</v>
      </c>
      <c r="N23" s="3">
        <v>10.6</v>
      </c>
      <c r="O23" s="3">
        <v>0.6</v>
      </c>
    </row>
    <row r="24" ht="17" customHeight="1" spans="2:15">
      <c r="B24" s="4"/>
      <c r="C24" s="2" t="s">
        <v>62</v>
      </c>
      <c r="D24" s="3">
        <v>56</v>
      </c>
      <c r="E24" s="3">
        <v>37</v>
      </c>
      <c r="F24" s="3">
        <v>47</v>
      </c>
      <c r="G24" s="3">
        <v>45</v>
      </c>
      <c r="H24" s="3">
        <v>41</v>
      </c>
      <c r="I24" s="3">
        <v>51</v>
      </c>
      <c r="J24" s="3">
        <v>75</v>
      </c>
      <c r="K24" s="3">
        <v>71</v>
      </c>
      <c r="L24" s="3">
        <v>54</v>
      </c>
      <c r="M24" s="3">
        <v>55</v>
      </c>
      <c r="N24" s="3">
        <v>58</v>
      </c>
      <c r="O24" s="3">
        <v>37</v>
      </c>
    </row>
    <row r="25" ht="17" customHeight="1" spans="2:15">
      <c r="B25" s="4"/>
      <c r="C25" s="2" t="s">
        <v>63</v>
      </c>
      <c r="D25" s="3">
        <v>-1.6592527222</v>
      </c>
      <c r="E25" s="3">
        <v>-1.5572759024</v>
      </c>
      <c r="F25" s="3">
        <v>5.5044925944</v>
      </c>
      <c r="G25" s="3">
        <v>10.9767864055</v>
      </c>
      <c r="H25" s="3">
        <v>14.15133044</v>
      </c>
      <c r="I25" s="3">
        <v>20.73961622</v>
      </c>
      <c r="J25" s="3">
        <v>23.288586856</v>
      </c>
      <c r="K25" s="3">
        <v>22.5484109752</v>
      </c>
      <c r="L25" s="3">
        <v>16.6826968088</v>
      </c>
      <c r="M25" s="3">
        <v>9.943847512</v>
      </c>
      <c r="N25" s="3">
        <v>6.7633008136</v>
      </c>
      <c r="O25" s="3">
        <v>-3.3415803936</v>
      </c>
    </row>
    <row r="26" ht="17" customHeight="1" spans="2:15">
      <c r="B26" s="5"/>
      <c r="C26" s="2" t="s">
        <v>64</v>
      </c>
      <c r="D26" s="3">
        <v>21</v>
      </c>
      <c r="E26" s="3">
        <v>21.65</v>
      </c>
      <c r="F26" s="3">
        <v>22.4</v>
      </c>
      <c r="G26" s="3">
        <v>23.35</v>
      </c>
      <c r="H26" s="3">
        <v>24.5</v>
      </c>
      <c r="I26" s="3">
        <v>25.24</v>
      </c>
      <c r="J26" s="3">
        <v>27.79</v>
      </c>
      <c r="K26" s="3">
        <v>27.05</v>
      </c>
      <c r="L26" s="3">
        <v>21.18</v>
      </c>
      <c r="M26" s="3">
        <v>21.12</v>
      </c>
      <c r="N26" s="3">
        <v>21.05</v>
      </c>
      <c r="O26" s="3">
        <v>21</v>
      </c>
    </row>
  </sheetData>
  <mergeCells count="6">
    <mergeCell ref="B3:B6"/>
    <mergeCell ref="B7:B10"/>
    <mergeCell ref="B11:B14"/>
    <mergeCell ref="B15:B18"/>
    <mergeCell ref="B19:B22"/>
    <mergeCell ref="B23:B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【1】按冷站电量数据-上限</vt:lpstr>
      <vt:lpstr>【2】按冷站电量数据-下限</vt:lpstr>
      <vt:lpstr>全国主要城市气象情况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yrth</dc:creator>
  <cp:lastModifiedBy>Zhou Ziye</cp:lastModifiedBy>
  <dcterms:created xsi:type="dcterms:W3CDTF">2019-02-21T01:53:00Z</dcterms:created>
  <dcterms:modified xsi:type="dcterms:W3CDTF">2025-12-29T22:47:02Z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861B289296B92462583C526958D4DA75_43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