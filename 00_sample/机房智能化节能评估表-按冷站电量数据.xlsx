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700" windowHeight="14680"/>
  </bookViews>
  <sheets>
    <sheet name="【2】按冷站电量数据 " sheetId="14" r:id="rId1"/>
    <sheet name="全国主要城市气象情况" sheetId="1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qihj</author>
  </authors>
  <commentList>
    <comment ref="L3" authorId="0">
      <text>
        <r>
          <rPr>
            <b/>
            <sz val="11"/>
            <rFont val="微软雅黑"/>
            <charset val="134"/>
          </rPr>
          <t>备注：取冷机铭牌，默认为5℃</t>
        </r>
      </text>
    </comment>
    <comment ref="L4" authorId="0">
      <text>
        <r>
          <rPr>
            <b/>
            <sz val="11"/>
            <rFont val="微软雅黑"/>
            <charset val="134"/>
          </rPr>
          <t>备注：根据现场情况填写，默认为35Hz</t>
        </r>
      </text>
    </comment>
    <comment ref="L5" authorId="0">
      <text>
        <r>
          <rPr>
            <b/>
            <sz val="11"/>
            <rFont val="微软雅黑"/>
            <charset val="134"/>
          </rPr>
          <t>备注：取冷机铭牌，默认为5℃</t>
        </r>
      </text>
    </comment>
    <comment ref="L6" authorId="0">
      <text>
        <r>
          <rPr>
            <b/>
            <sz val="11"/>
            <rFont val="微软雅黑"/>
            <charset val="134"/>
          </rPr>
          <t>备注：根据现场情况填写，默认为35Hz</t>
        </r>
      </text>
    </comment>
  </commentList>
</comments>
</file>

<file path=xl/sharedStrings.xml><?xml version="1.0" encoding="utf-8"?>
<sst xmlns="http://schemas.openxmlformats.org/spreadsheetml/2006/main" count="104" uniqueCount="81">
  <si>
    <t>节能量测算与评估表</t>
  </si>
  <si>
    <r>
      <rPr>
        <sz val="11"/>
        <color rgb="FFC00000"/>
        <rFont val="微软雅黑"/>
        <charset val="134"/>
      </rPr>
      <t>测算说明：
1、该测算表适用于</t>
    </r>
    <r>
      <rPr>
        <b/>
        <sz val="11"/>
        <color rgb="FFC00000"/>
        <rFont val="微软雅黑"/>
        <charset val="134"/>
      </rPr>
      <t>仅有冷站逐月电量数据</t>
    </r>
    <r>
      <rPr>
        <sz val="11"/>
        <color rgb="FFC00000"/>
        <rFont val="微软雅黑"/>
        <charset val="134"/>
      </rPr>
      <t>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</r>
  </si>
  <si>
    <t>项目地区</t>
  </si>
  <si>
    <t>冷却水额定温差（℃）</t>
  </si>
  <si>
    <t>冷机能耗占比</t>
  </si>
  <si>
    <t>华北</t>
  </si>
  <si>
    <t>冷却泵最小频率（Hz）</t>
  </si>
  <si>
    <t>冷却泵能耗占比</t>
  </si>
  <si>
    <t>华南</t>
  </si>
  <si>
    <t>冷冻水额定温差（℃）</t>
  </si>
  <si>
    <t>冷冻泵能耗占比</t>
  </si>
  <si>
    <t>华东</t>
  </si>
  <si>
    <t>冷冻泵最小频率（Hz）</t>
  </si>
  <si>
    <t>冷却塔能耗占比</t>
  </si>
  <si>
    <t>华中</t>
  </si>
  <si>
    <t>冷机</t>
  </si>
  <si>
    <t>分项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</si>
  <si>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</si>
  <si>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</si>
  <si>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</si>
  <si>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</si>
  <si>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</si>
  <si>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</si>
  <si>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</si>
  <si>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</si>
  <si>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</si>
  <si>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</si>
  <si>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</si>
  <si>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</si>
  <si>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总计</t>
  </si>
  <si>
    <t>西南</t>
  </si>
  <si>
    <t>冷机能耗（万kWh）</t>
  </si>
  <si>
    <t>西北</t>
  </si>
  <si>
    <t>用户供水设定温度（℃）</t>
  </si>
  <si>
    <t>预计供水温度（℃）</t>
  </si>
  <si>
    <t>冷机预计节能量（万kWh）</t>
  </si>
  <si>
    <t>冷却泵</t>
  </si>
  <si>
    <t>冷却泵能耗（万kWh）</t>
  </si>
  <si>
    <t>用户设定运行频率（Hz）</t>
  </si>
  <si>
    <t>冷却侧供回水温差（℃）</t>
  </si>
  <si>
    <t>预计设定频率（Hz）</t>
  </si>
  <si>
    <t>冷却泵预计节能量（万kWh）</t>
  </si>
  <si>
    <t>冷冻泵</t>
  </si>
  <si>
    <t>冷冻泵能耗（万kWh）</t>
  </si>
  <si>
    <t>冷冻侧供回水温差（℃）</t>
  </si>
  <si>
    <t>冷冻泵预计节能量（万kWh）</t>
  </si>
  <si>
    <t>冷却塔</t>
  </si>
  <si>
    <t>冷却塔能耗（万kWh）</t>
  </si>
  <si>
    <t>用户冷却塔出水温度（℃）</t>
  </si>
  <si>
    <t>预计冷却塔出水温度（℃）</t>
  </si>
  <si>
    <t>预计产生的冷机节能量（万kWh）</t>
  </si>
  <si>
    <t>冷站</t>
  </si>
  <si>
    <t>总能耗（万kWh）</t>
  </si>
  <si>
    <t>冷站预计节能量（万kWh）</t>
  </si>
  <si>
    <t>冷站节能率</t>
  </si>
  <si>
    <t>电费单价（元/kWh）</t>
  </si>
  <si>
    <t>节省费用（万元/年）</t>
  </si>
  <si>
    <r>
      <rPr>
        <sz val="11"/>
        <color theme="1"/>
        <rFont val="宋体"/>
        <charset val="134"/>
      </rPr>
      <t>城市</t>
    </r>
  </si>
  <si>
    <r>
      <rPr>
        <sz val="11"/>
        <color theme="1"/>
        <rFont val="宋体"/>
        <charset val="134"/>
      </rPr>
      <t>参数</t>
    </r>
  </si>
  <si>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</si>
  <si>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</si>
  <si>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Times New Roman"/>
        <charset val="134"/>
      </rPr>
      <t>3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</si>
  <si>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Times New Roman"/>
        <charset val="134"/>
      </rPr>
      <t>4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</si>
  <si>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Times New Roman"/>
        <charset val="134"/>
      </rPr>
      <t>5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</si>
  <si>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Times New Roman"/>
        <charset val="134"/>
      </rPr>
      <t>6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</si>
  <si>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Times New Roman"/>
        <charset val="134"/>
      </rPr>
      <t>7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</si>
  <si>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Times New Roman"/>
        <charset val="134"/>
      </rPr>
      <t>8</t>
    </r>
    <r>
      <rPr>
        <sz val="11"/>
        <color theme="1"/>
        <rFont val="宋体"/>
        <charset val="134"/>
      </rPr>
      <t>月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</si>
  <si>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Times New Roman"/>
        <charset val="134"/>
      </rPr>
      <t>9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</si>
  <si>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Times New Roman"/>
        <charset val="134"/>
      </rPr>
      <t>10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</si>
  <si>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Times New Roman"/>
        <charset val="134"/>
      </rPr>
      <t>11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</si>
  <si>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Times New Roman"/>
        <charset val="134"/>
      </rPr>
      <t>12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</si>
  <si>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宋体"/>
        <charset val="134"/>
      </rPr>
      <t>广州</t>
    </r>
  </si>
  <si>
    <r>
      <rPr>
        <sz val="11"/>
        <color theme="1"/>
        <rFont val="宋体"/>
        <charset val="134"/>
      </rPr>
      <t>平均温度</t>
    </r>
  </si>
  <si>
    <r>
      <rPr>
        <sz val="11"/>
        <color theme="1"/>
        <rFont val="宋体"/>
        <charset val="134"/>
      </rPr>
      <t>相对湿度</t>
    </r>
  </si>
  <si>
    <r>
      <rPr>
        <sz val="11"/>
        <color theme="1"/>
        <rFont val="宋体"/>
        <charset val="134"/>
      </rPr>
      <t>湿球温度</t>
    </r>
  </si>
  <si>
    <r>
      <rPr>
        <sz val="11"/>
        <color theme="1"/>
        <rFont val="宋体"/>
        <charset val="134"/>
      </rPr>
      <t>冷却塔出水温度</t>
    </r>
  </si>
  <si>
    <r>
      <rPr>
        <sz val="11"/>
        <color theme="1"/>
        <rFont val="宋体"/>
        <charset val="134"/>
      </rPr>
      <t>上海</t>
    </r>
  </si>
  <si>
    <r>
      <rPr>
        <sz val="11"/>
        <color theme="1"/>
        <rFont val="宋体"/>
        <charset val="134"/>
      </rPr>
      <t>武汉</t>
    </r>
  </si>
  <si>
    <r>
      <rPr>
        <sz val="11"/>
        <color theme="1"/>
        <rFont val="宋体"/>
        <charset val="134"/>
      </rPr>
      <t>成都</t>
    </r>
  </si>
  <si>
    <t>西安</t>
  </si>
  <si>
    <t>济南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</si>
</sst>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.0%"/>
  </numFmts>
  <fonts count="32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b/>
      <sz val="16"/>
      <color theme="0"/>
      <name val="微软雅黑"/>
      <charset val="134"/>
    </font>
    <font>
      <sz val="11"/>
      <color rgb="FFC00000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3F3F76"/>
      <name val="微软雅黑"/>
      <charset val="134"/>
    </font>
    <font>
      <b/>
      <sz val="11"/>
      <color rgb="FFFF0000"/>
      <name val="微软雅黑"/>
      <charset val="134"/>
    </font>
    <font>
      <b/>
      <sz val="16"/>
      <color rgb="FFFF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C00000"/>
      <name val="微软雅黑"/>
      <charset val="134"/>
    </font>
    <font>
      <b/>
      <sz val="11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3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4" applyNumberFormat="0" applyFill="0" applyAlignment="0" applyProtection="0">
      <alignment vertical="center"/>
    </xf>
    <xf numFmtId="0" fontId="17" fillId="0" borderId="34" applyNumberFormat="0" applyFill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36" applyNumberFormat="0" applyAlignment="0" applyProtection="0">
      <alignment vertical="center"/>
    </xf>
    <xf numFmtId="0" fontId="20" fillId="8" borderId="37" applyNumberFormat="0" applyAlignment="0" applyProtection="0">
      <alignment vertical="center"/>
    </xf>
    <xf numFmtId="0" fontId="21" fillId="8" borderId="36" applyNumberFormat="0" applyAlignment="0" applyProtection="0">
      <alignment vertical="center"/>
    </xf>
    <xf numFmtId="0" fontId="22" fillId="9" borderId="38" applyNumberFormat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0" fontId="0" fillId="0" borderId="0" xfId="3" applyNumberFormat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9" fontId="6" fillId="3" borderId="13" xfId="3" applyFont="1" applyFill="1" applyBorder="1" applyAlignment="1">
      <alignment horizontal="center" vertical="center"/>
    </xf>
    <xf numFmtId="0" fontId="5" fillId="0" borderId="1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9" fontId="6" fillId="3" borderId="19" xfId="3" applyFont="1" applyFill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76" fontId="6" fillId="0" borderId="1" xfId="0" applyNumberFormat="1" applyFont="1" applyBorder="1" applyAlignment="1">
      <alignment horizontal="center" vertical="center"/>
    </xf>
    <xf numFmtId="176" fontId="5" fillId="0" borderId="13" xfId="0" applyNumberFormat="1" applyFont="1" applyBorder="1" applyAlignment="1">
      <alignment horizontal="center" vertical="center"/>
    </xf>
    <xf numFmtId="0" fontId="8" fillId="3" borderId="1" xfId="16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176" fontId="6" fillId="0" borderId="25" xfId="0" applyNumberFormat="1" applyFont="1" applyBorder="1" applyAlignment="1">
      <alignment horizontal="center" vertical="center"/>
    </xf>
    <xf numFmtId="176" fontId="5" fillId="0" borderId="26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/>
    </xf>
    <xf numFmtId="176" fontId="6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16" applyFont="1" applyFill="1" applyBorder="1" applyAlignment="1">
      <alignment horizontal="center" vertical="center"/>
    </xf>
    <xf numFmtId="176" fontId="5" fillId="0" borderId="25" xfId="0" applyNumberFormat="1" applyFont="1" applyBorder="1" applyAlignment="1">
      <alignment horizontal="center" vertical="center"/>
    </xf>
    <xf numFmtId="177" fontId="6" fillId="3" borderId="1" xfId="0" applyNumberFormat="1" applyFont="1" applyFill="1" applyBorder="1" applyAlignment="1">
      <alignment horizontal="center" vertical="center"/>
    </xf>
    <xf numFmtId="0" fontId="7" fillId="0" borderId="27" xfId="0" applyFont="1" applyBorder="1" applyAlignment="1">
      <alignment horizontal="left" vertical="center"/>
    </xf>
    <xf numFmtId="0" fontId="7" fillId="4" borderId="28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left" vertical="center"/>
    </xf>
    <xf numFmtId="176" fontId="6" fillId="4" borderId="4" xfId="0" applyNumberFormat="1" applyFont="1" applyFill="1" applyBorder="1" applyAlignment="1">
      <alignment horizontal="center" vertical="center"/>
    </xf>
    <xf numFmtId="176" fontId="7" fillId="4" borderId="29" xfId="0" applyNumberFormat="1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/>
    </xf>
    <xf numFmtId="176" fontId="9" fillId="5" borderId="13" xfId="0" applyNumberFormat="1" applyFont="1" applyFill="1" applyBorder="1" applyAlignment="1">
      <alignment horizontal="center" vertical="center"/>
    </xf>
    <xf numFmtId="178" fontId="10" fillId="5" borderId="25" xfId="3" applyNumberFormat="1" applyFont="1" applyFill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2" fontId="10" fillId="5" borderId="30" xfId="3" applyNumberFormat="1" applyFont="1" applyFill="1" applyBorder="1" applyAlignment="1">
      <alignment horizontal="center" vertical="center"/>
    </xf>
    <xf numFmtId="2" fontId="10" fillId="5" borderId="31" xfId="3" applyNumberFormat="1" applyFont="1" applyFill="1" applyBorder="1" applyAlignment="1">
      <alignment horizontal="center" vertical="center"/>
    </xf>
    <xf numFmtId="2" fontId="10" fillId="5" borderId="32" xfId="3" applyNumberFormat="1" applyFont="1" applyFill="1" applyBorder="1" applyAlignment="1">
      <alignment horizontal="center" vertical="center"/>
    </xf>
    <xf numFmtId="178" fontId="0" fillId="0" borderId="0" xfId="3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V30"/>
  <sheetViews>
    <sheetView showGridLines="0" tabSelected="1" zoomScale="90" zoomScaleNormal="90" workbookViewId="0">
      <selection activeCell="D27" sqref="D27:O27"/>
    </sheetView>
  </sheetViews>
  <sheetFormatPr defaultColWidth="9" defaultRowHeight="16.8"/>
  <cols>
    <col min="1" max="1" width="2.38392857142857" customWidth="1"/>
    <col min="2" max="2" width="14.5" customWidth="1"/>
    <col min="3" max="3" width="30.25" customWidth="1"/>
    <col min="4" max="9" width="9.63392857142857" customWidth="1"/>
    <col min="10" max="10" width="10.3839285714286" customWidth="1"/>
    <col min="11" max="11" width="10" customWidth="1"/>
    <col min="12" max="15" width="9.63392857142857" customWidth="1"/>
    <col min="16" max="16" width="9.88392857142857" customWidth="1"/>
    <col min="17" max="17" width="12.8928571428571" style="7"/>
    <col min="18" max="21" width="9" hidden="1" customWidth="1"/>
    <col min="22" max="22" width="12.8928571428571" style="7"/>
  </cols>
  <sheetData>
    <row r="1" ht="7.5" customHeight="1"/>
    <row r="2" ht="26.45" customHeight="1" spans="2:22">
      <c r="B2" s="8" t="s">
        <v>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0"/>
    </row>
    <row r="3" ht="26.45" customHeight="1" spans="2:22">
      <c r="B3" s="11" t="s">
        <v>1</v>
      </c>
      <c r="C3" s="12"/>
      <c r="D3" s="12"/>
      <c r="E3" s="12"/>
      <c r="F3" s="12"/>
      <c r="G3" s="12"/>
      <c r="H3" s="13" t="s">
        <v>2</v>
      </c>
      <c r="I3" s="14"/>
      <c r="J3" s="13" t="s">
        <v>3</v>
      </c>
      <c r="K3" s="15"/>
      <c r="L3" s="16">
        <v>5</v>
      </c>
      <c r="M3" s="13" t="s">
        <v>4</v>
      </c>
      <c r="N3" s="15"/>
      <c r="O3" s="14"/>
      <c r="P3" s="17">
        <v>0.65</v>
      </c>
      <c r="Q3" s="7">
        <v>1</v>
      </c>
    </row>
    <row r="4" ht="26.45" customHeight="1" spans="2:22">
      <c r="B4" s="18"/>
      <c r="C4" s="19"/>
      <c r="D4" s="19"/>
      <c r="E4" s="19"/>
      <c r="F4" s="19"/>
      <c r="G4" s="19"/>
      <c r="H4" s="20" t="s">
        <v>5</v>
      </c>
      <c r="I4" s="21"/>
      <c r="J4" s="13" t="s">
        <v>6</v>
      </c>
      <c r="K4" s="15"/>
      <c r="L4" s="16">
        <v>35</v>
      </c>
      <c r="M4" s="13" t="s">
        <v>7</v>
      </c>
      <c r="N4" s="15"/>
      <c r="O4" s="14"/>
      <c r="P4" s="17">
        <v>0.2</v>
      </c>
      <c r="R4" t="s">
        <v>8</v>
      </c>
    </row>
    <row r="5" ht="26.45" customHeight="1" spans="2:22">
      <c r="B5" s="18"/>
      <c r="C5" s="19"/>
      <c r="D5" s="19"/>
      <c r="E5" s="19"/>
      <c r="F5" s="19"/>
      <c r="G5" s="19"/>
      <c r="H5" s="22"/>
      <c r="I5" s="23"/>
      <c r="J5" s="13" t="s">
        <v>9</v>
      </c>
      <c r="K5" s="15"/>
      <c r="L5" s="16">
        <v>5</v>
      </c>
      <c r="M5" s="13" t="s">
        <v>10</v>
      </c>
      <c r="N5" s="15"/>
      <c r="O5" s="14"/>
      <c r="P5" s="17">
        <v>0.1</v>
      </c>
      <c r="R5" t="s">
        <v>11</v>
      </c>
    </row>
    <row r="6" ht="26.45" customHeight="1" spans="2:22">
      <c r="B6" s="18"/>
      <c r="C6" s="19"/>
      <c r="D6" s="19"/>
      <c r="E6" s="19"/>
      <c r="F6" s="19"/>
      <c r="G6" s="19"/>
      <c r="H6" s="22"/>
      <c r="I6" s="23"/>
      <c r="J6" s="24" t="s">
        <v>12</v>
      </c>
      <c r="K6" s="25"/>
      <c r="L6" s="26">
        <v>35</v>
      </c>
      <c r="M6" s="24" t="s">
        <v>13</v>
      </c>
      <c r="N6" s="25"/>
      <c r="O6" s="27"/>
      <c r="P6" s="28">
        <v>0.05</v>
      </c>
      <c r="R6" t="s">
        <v>14</v>
      </c>
    </row>
    <row r="7" ht="21.95" customHeight="1" spans="2:22">
      <c r="B7" s="29" t="s">
        <v>15</v>
      </c>
      <c r="C7" s="30" t="s">
        <v>16</v>
      </c>
      <c r="D7" s="30" t="s">
        <v>17</v>
      </c>
      <c r="E7" s="30" t="s">
        <v>18</v>
      </c>
      <c r="F7" s="30" t="s">
        <v>19</v>
      </c>
      <c r="G7" s="30" t="s">
        <v>20</v>
      </c>
      <c r="H7" s="30" t="s">
        <v>21</v>
      </c>
      <c r="I7" s="30" t="s">
        <v>22</v>
      </c>
      <c r="J7" s="30" t="s">
        <v>23</v>
      </c>
      <c r="K7" s="30" t="s">
        <v>24</v>
      </c>
      <c r="L7" s="30" t="s">
        <v>25</v>
      </c>
      <c r="M7" s="30" t="s">
        <v>26</v>
      </c>
      <c r="N7" s="30" t="s">
        <v>27</v>
      </c>
      <c r="O7" s="30" t="s">
        <v>28</v>
      </c>
      <c r="P7" s="31" t="s">
        <v>29</v>
      </c>
      <c r="R7" t="s">
        <v>30</v>
      </c>
    </row>
    <row r="8" ht="21.95" customHeight="1" spans="2:22">
      <c r="B8" s="32"/>
      <c r="C8" s="33" t="s">
        <v>31</v>
      </c>
      <c r="D8" s="34">
        <f>D27*$P$3</f>
        <v>13.51662</v>
      </c>
      <c r="E8" s="34">
        <f t="shared" ref="E8:O8" si="0">E27*$P$3</f>
        <v>13.08216</v>
      </c>
      <c r="F8" s="34">
        <f t="shared" si="0"/>
        <v>15.45102</v>
      </c>
      <c r="G8" s="34">
        <f t="shared" si="0"/>
        <v>16.146</v>
      </c>
      <c r="H8" s="34">
        <f t="shared" si="0"/>
        <v>32.30448</v>
      </c>
      <c r="I8" s="34">
        <f t="shared" si="0"/>
        <v>33.9768</v>
      </c>
      <c r="J8" s="34">
        <f t="shared" si="0"/>
        <v>36.5118</v>
      </c>
      <c r="K8" s="34">
        <f t="shared" si="0"/>
        <v>37.353264</v>
      </c>
      <c r="L8" s="34">
        <f t="shared" si="0"/>
        <v>33.9768</v>
      </c>
      <c r="M8" s="34">
        <f t="shared" si="0"/>
        <v>16.41822</v>
      </c>
      <c r="N8" s="34">
        <f t="shared" si="0"/>
        <v>14.4378</v>
      </c>
      <c r="O8" s="34">
        <f t="shared" si="0"/>
        <v>13.51662</v>
      </c>
      <c r="P8" s="35">
        <f>SUM(D8:O8)</f>
        <v>276.691584</v>
      </c>
      <c r="R8" t="s">
        <v>32</v>
      </c>
    </row>
    <row r="9" ht="21.95" customHeight="1" spans="2:22">
      <c r="B9" s="32"/>
      <c r="C9" s="33" t="s">
        <v>33</v>
      </c>
      <c r="D9" s="36">
        <v>9</v>
      </c>
      <c r="E9" s="36">
        <v>9</v>
      </c>
      <c r="F9" s="36">
        <v>9</v>
      </c>
      <c r="G9" s="36">
        <v>9</v>
      </c>
      <c r="H9" s="36">
        <v>9</v>
      </c>
      <c r="I9" s="36">
        <v>9</v>
      </c>
      <c r="J9" s="36">
        <v>9</v>
      </c>
      <c r="K9" s="36">
        <v>9</v>
      </c>
      <c r="L9" s="36">
        <v>9</v>
      </c>
      <c r="M9" s="36">
        <v>9</v>
      </c>
      <c r="N9" s="36">
        <v>9</v>
      </c>
      <c r="O9" s="36">
        <v>9</v>
      </c>
      <c r="P9" s="35"/>
      <c r="R9" t="s">
        <v>5</v>
      </c>
    </row>
    <row r="10" ht="21.95" customHeight="1" spans="2:22">
      <c r="B10" s="32"/>
      <c r="C10" s="33" t="s">
        <v>34</v>
      </c>
      <c r="D10" s="37">
        <f>IF(D9&lt;8.5,D9+5,IF(D9&lt;10,D9+4,IF(D9&lt;12,D9+3,D9)))</f>
        <v>13</v>
      </c>
      <c r="E10" s="37">
        <f>IF(E9&lt;8.5,E9+4.5,IF(E9&lt;10,E9+4,IF(E9&lt;12,E9+3,E9)))</f>
        <v>13</v>
      </c>
      <c r="F10" s="37">
        <f>IF(F9&lt;8.5,F9+4,IF(F9&lt;10,F9+3.5,IF(F9&lt;12,F9+3,F9)))</f>
        <v>12.5</v>
      </c>
      <c r="G10" s="37">
        <f>IF(G9&lt;8.5,G9+3.5,IF(G9&lt;10,G9+3,IF(G9&lt;12,G9+2.5,G9)))</f>
        <v>12</v>
      </c>
      <c r="H10" s="37">
        <f>IF(H9&lt;8.5,H9+3,IF(H9&lt;10,H9+2.5,IF(H9&lt;12,H9+2,H9)))</f>
        <v>11.5</v>
      </c>
      <c r="I10" s="37">
        <f>IF(I9&lt;8.5,I9+2.5,IF(I9&lt;10,I9+1.5,IF(I9&lt;12,I9+1.5,I9)))</f>
        <v>10.5</v>
      </c>
      <c r="J10" s="37">
        <f>IF(J9&lt;8.5,J9+2.5,IF(J9&lt;10,J9+1.5,IF(J9&lt;12,J9+1.5,J9)))</f>
        <v>10.5</v>
      </c>
      <c r="K10" s="37">
        <f>IF(K9&lt;8.5,K9+2.5,IF(K9&lt;10,K9+1.5,IF(K9&lt;12,K9+1.5,K9)))</f>
        <v>10.5</v>
      </c>
      <c r="L10" s="37">
        <f>IF(L9&lt;8.5,L9+3,IF(L9&lt;10,L9+2.5,IF(L9&lt;12,L9+2,L9)))</f>
        <v>11.5</v>
      </c>
      <c r="M10" s="37">
        <f>IF(M9&lt;8.5,M9+3.5,IF(M9&lt;10,M9+3,IF(M9&lt;12,M9+2.5,M9)))</f>
        <v>12</v>
      </c>
      <c r="N10" s="37">
        <f>IF(N9&lt;8.5,N9+4,IF(N9&lt;10,N9+3.5,IF(N9&lt;12,N9+3,N9)))</f>
        <v>12.5</v>
      </c>
      <c r="O10" s="37">
        <f>IF(O9&lt;8.5,O9+4.5,IF(O9&lt;10,O9+4,IF(O9&lt;12,O9+3,O9)))</f>
        <v>13</v>
      </c>
      <c r="P10" s="35"/>
    </row>
    <row r="11" ht="21.95" customHeight="1" spans="2:22">
      <c r="B11" s="38"/>
      <c r="C11" s="39" t="s">
        <v>35</v>
      </c>
      <c r="D11" s="40">
        <f t="shared" ref="D11:O11" si="1">D8*(D10-D9)*0.04</f>
        <v>2.1626592</v>
      </c>
      <c r="E11" s="40">
        <f t="shared" si="1"/>
        <v>2.0931456</v>
      </c>
      <c r="F11" s="40">
        <f t="shared" si="1"/>
        <v>2.1631428</v>
      </c>
      <c r="G11" s="40">
        <f t="shared" si="1"/>
        <v>1.93752</v>
      </c>
      <c r="H11" s="40">
        <f t="shared" si="1"/>
        <v>3.230448</v>
      </c>
      <c r="I11" s="40">
        <f t="shared" si="1"/>
        <v>2.038608</v>
      </c>
      <c r="J11" s="40">
        <f t="shared" si="1"/>
        <v>2.190708</v>
      </c>
      <c r="K11" s="40">
        <f t="shared" si="1"/>
        <v>2.24119584</v>
      </c>
      <c r="L11" s="40">
        <f t="shared" si="1"/>
        <v>3.39768</v>
      </c>
      <c r="M11" s="40">
        <f t="shared" si="1"/>
        <v>1.9701864</v>
      </c>
      <c r="N11" s="40">
        <f t="shared" si="1"/>
        <v>2.021292</v>
      </c>
      <c r="O11" s="40">
        <f t="shared" si="1"/>
        <v>2.1626592</v>
      </c>
      <c r="P11" s="41">
        <f>SUM(D11:O11)</f>
        <v>27.60924504</v>
      </c>
      <c r="Q11" s="7">
        <f>P11/P8</f>
        <v>0.0997834651884461</v>
      </c>
      <c r="V11" s="7">
        <f>P11/P27</f>
        <v>0.0648592523724899</v>
      </c>
    </row>
    <row r="12" ht="21.95" customHeight="1" spans="2:22">
      <c r="B12" s="29" t="s">
        <v>36</v>
      </c>
      <c r="C12" s="42" t="s">
        <v>37</v>
      </c>
      <c r="D12" s="43">
        <f>D27*$P$4</f>
        <v>4.15896</v>
      </c>
      <c r="E12" s="43">
        <f t="shared" ref="E12:O12" si="2">E27*$P$4</f>
        <v>4.02528</v>
      </c>
      <c r="F12" s="43">
        <f t="shared" si="2"/>
        <v>4.75416</v>
      </c>
      <c r="G12" s="43">
        <f t="shared" si="2"/>
        <v>4.968</v>
      </c>
      <c r="H12" s="43">
        <f t="shared" si="2"/>
        <v>9.93984</v>
      </c>
      <c r="I12" s="43">
        <f t="shared" si="2"/>
        <v>10.4544</v>
      </c>
      <c r="J12" s="43">
        <f t="shared" si="2"/>
        <v>11.2344</v>
      </c>
      <c r="K12" s="43">
        <f t="shared" si="2"/>
        <v>11.493312</v>
      </c>
      <c r="L12" s="43">
        <f t="shared" si="2"/>
        <v>10.4544</v>
      </c>
      <c r="M12" s="43">
        <f t="shared" si="2"/>
        <v>5.05176</v>
      </c>
      <c r="N12" s="43">
        <f t="shared" si="2"/>
        <v>4.4424</v>
      </c>
      <c r="O12" s="43">
        <f t="shared" si="2"/>
        <v>4.15896</v>
      </c>
      <c r="P12" s="44">
        <f>SUM(D12:O12)</f>
        <v>85.135872</v>
      </c>
    </row>
    <row r="13" ht="21.95" customHeight="1" spans="2:22">
      <c r="B13" s="32"/>
      <c r="C13" s="33" t="s">
        <v>38</v>
      </c>
      <c r="D13" s="45">
        <v>45</v>
      </c>
      <c r="E13" s="45">
        <v>50</v>
      </c>
      <c r="F13" s="45">
        <v>50</v>
      </c>
      <c r="G13" s="45">
        <v>50</v>
      </c>
      <c r="H13" s="45">
        <v>40</v>
      </c>
      <c r="I13" s="45">
        <v>50</v>
      </c>
      <c r="J13" s="45">
        <v>44</v>
      </c>
      <c r="K13" s="45">
        <v>50</v>
      </c>
      <c r="L13" s="45">
        <v>50</v>
      </c>
      <c r="M13" s="45">
        <v>50</v>
      </c>
      <c r="N13" s="45">
        <v>50</v>
      </c>
      <c r="O13" s="45">
        <v>38</v>
      </c>
      <c r="P13" s="35"/>
    </row>
    <row r="14" ht="21.95" customHeight="1" spans="2:22">
      <c r="B14" s="32"/>
      <c r="C14" s="33" t="s">
        <v>39</v>
      </c>
      <c r="D14" s="45">
        <v>4.5</v>
      </c>
      <c r="E14" s="45">
        <v>3</v>
      </c>
      <c r="F14" s="45">
        <v>4</v>
      </c>
      <c r="G14" s="45">
        <v>4</v>
      </c>
      <c r="H14" s="45">
        <v>5</v>
      </c>
      <c r="I14" s="45">
        <v>4.5</v>
      </c>
      <c r="J14" s="45">
        <v>4.5</v>
      </c>
      <c r="K14" s="45">
        <v>5</v>
      </c>
      <c r="L14" s="45">
        <v>4</v>
      </c>
      <c r="M14" s="45">
        <v>4</v>
      </c>
      <c r="N14" s="45">
        <v>3</v>
      </c>
      <c r="O14" s="45">
        <v>3</v>
      </c>
      <c r="P14" s="35"/>
    </row>
    <row r="15" ht="21.95" customHeight="1" spans="2:22">
      <c r="B15" s="32"/>
      <c r="C15" s="33" t="s">
        <v>40</v>
      </c>
      <c r="D15" s="46">
        <f t="shared" ref="D15:O15" si="3">IF(D14&lt;=$L$3,IF(D14/$L$3*D13&lt;$L$4,$L$4,IF(D14/$L$3*D13&lt;=50,D14/$L$3*D13,50)),D13)</f>
        <v>40.5</v>
      </c>
      <c r="E15" s="46">
        <f t="shared" si="3"/>
        <v>35</v>
      </c>
      <c r="F15" s="46">
        <f t="shared" si="3"/>
        <v>40</v>
      </c>
      <c r="G15" s="46">
        <f t="shared" si="3"/>
        <v>40</v>
      </c>
      <c r="H15" s="46">
        <f t="shared" si="3"/>
        <v>40</v>
      </c>
      <c r="I15" s="46">
        <f t="shared" si="3"/>
        <v>45</v>
      </c>
      <c r="J15" s="46">
        <f t="shared" si="3"/>
        <v>39.6</v>
      </c>
      <c r="K15" s="46">
        <f t="shared" si="3"/>
        <v>50</v>
      </c>
      <c r="L15" s="46">
        <f t="shared" si="3"/>
        <v>40</v>
      </c>
      <c r="M15" s="46">
        <f t="shared" si="3"/>
        <v>40</v>
      </c>
      <c r="N15" s="46">
        <f t="shared" si="3"/>
        <v>35</v>
      </c>
      <c r="O15" s="46">
        <f t="shared" si="3"/>
        <v>35</v>
      </c>
      <c r="P15" s="35"/>
    </row>
    <row r="16" ht="21.95" customHeight="1" spans="2:22">
      <c r="B16" s="38"/>
      <c r="C16" s="39" t="s">
        <v>41</v>
      </c>
      <c r="D16" s="47">
        <f t="shared" ref="D16:O16" si="4">D12*(1-(D15/D13)^2.5)</f>
        <v>0.963075929699266</v>
      </c>
      <c r="E16" s="47">
        <f t="shared" si="4"/>
        <v>2.37506247291253</v>
      </c>
      <c r="F16" s="47">
        <f t="shared" si="4"/>
        <v>2.03272001640694</v>
      </c>
      <c r="G16" s="47">
        <f t="shared" si="4"/>
        <v>2.12415085767195</v>
      </c>
      <c r="H16" s="47">
        <f t="shared" si="4"/>
        <v>0</v>
      </c>
      <c r="I16" s="47">
        <f t="shared" si="4"/>
        <v>2.42088911637717</v>
      </c>
      <c r="J16" s="47">
        <f t="shared" si="4"/>
        <v>2.60151100866886</v>
      </c>
      <c r="K16" s="47">
        <f t="shared" si="4"/>
        <v>0</v>
      </c>
      <c r="L16" s="47">
        <f t="shared" si="4"/>
        <v>4.46995223962271</v>
      </c>
      <c r="M16" s="47">
        <f t="shared" si="4"/>
        <v>2.15996383590033</v>
      </c>
      <c r="N16" s="47">
        <f t="shared" si="4"/>
        <v>2.62117853408126</v>
      </c>
      <c r="O16" s="47">
        <f t="shared" si="4"/>
        <v>0.772890539849962</v>
      </c>
      <c r="P16" s="41">
        <f>SUM(D16:O16)</f>
        <v>22.541394551191</v>
      </c>
      <c r="Q16" s="7">
        <f>P16/P12</f>
        <v>0.264769644353804</v>
      </c>
      <c r="V16" s="7">
        <f>P16/P27</f>
        <v>0.0529539288707608</v>
      </c>
    </row>
    <row r="17" ht="21.95" customHeight="1" spans="2:22">
      <c r="B17" s="29" t="s">
        <v>42</v>
      </c>
      <c r="C17" s="42" t="s">
        <v>43</v>
      </c>
      <c r="D17" s="43">
        <f>D27*$P$5</f>
        <v>2.07948</v>
      </c>
      <c r="E17" s="43">
        <f t="shared" ref="E17:O17" si="5">E27*$P$5</f>
        <v>2.01264</v>
      </c>
      <c r="F17" s="43">
        <f t="shared" si="5"/>
        <v>2.37708</v>
      </c>
      <c r="G17" s="43">
        <f t="shared" si="5"/>
        <v>2.484</v>
      </c>
      <c r="H17" s="43">
        <f t="shared" si="5"/>
        <v>4.96992</v>
      </c>
      <c r="I17" s="43">
        <f t="shared" si="5"/>
        <v>5.2272</v>
      </c>
      <c r="J17" s="43">
        <f t="shared" si="5"/>
        <v>5.6172</v>
      </c>
      <c r="K17" s="43">
        <f t="shared" si="5"/>
        <v>5.746656</v>
      </c>
      <c r="L17" s="43">
        <f t="shared" si="5"/>
        <v>5.2272</v>
      </c>
      <c r="M17" s="43">
        <f t="shared" si="5"/>
        <v>2.52588</v>
      </c>
      <c r="N17" s="43">
        <f t="shared" si="5"/>
        <v>2.2212</v>
      </c>
      <c r="O17" s="43">
        <f t="shared" si="5"/>
        <v>2.07948</v>
      </c>
      <c r="P17" s="44">
        <f>SUM(D17:O17)</f>
        <v>42.567936</v>
      </c>
    </row>
    <row r="18" ht="21.95" customHeight="1" spans="2:22">
      <c r="B18" s="32"/>
      <c r="C18" s="33" t="s">
        <v>38</v>
      </c>
      <c r="D18" s="45">
        <v>50</v>
      </c>
      <c r="E18" s="45">
        <v>50</v>
      </c>
      <c r="F18" s="45">
        <v>50</v>
      </c>
      <c r="G18" s="45">
        <v>44</v>
      </c>
      <c r="H18" s="45">
        <v>50</v>
      </c>
      <c r="I18" s="45">
        <v>38</v>
      </c>
      <c r="J18" s="45">
        <v>50</v>
      </c>
      <c r="K18" s="45">
        <v>50</v>
      </c>
      <c r="L18" s="45">
        <v>50</v>
      </c>
      <c r="M18" s="45">
        <v>50</v>
      </c>
      <c r="N18" s="45">
        <v>50</v>
      </c>
      <c r="O18" s="45">
        <v>50</v>
      </c>
      <c r="P18" s="35"/>
    </row>
    <row r="19" ht="21.95" customHeight="1" spans="2:22">
      <c r="B19" s="32"/>
      <c r="C19" s="33" t="s">
        <v>44</v>
      </c>
      <c r="D19" s="45">
        <v>4.5</v>
      </c>
      <c r="E19" s="45">
        <v>3</v>
      </c>
      <c r="F19" s="45">
        <v>4</v>
      </c>
      <c r="G19" s="45">
        <v>4</v>
      </c>
      <c r="H19" s="45">
        <v>2.9</v>
      </c>
      <c r="I19" s="45">
        <v>4.5</v>
      </c>
      <c r="J19" s="45">
        <v>4.5</v>
      </c>
      <c r="K19" s="45">
        <v>5</v>
      </c>
      <c r="L19" s="45">
        <v>4</v>
      </c>
      <c r="M19" s="45">
        <v>4</v>
      </c>
      <c r="N19" s="45">
        <v>3</v>
      </c>
      <c r="O19" s="45">
        <v>3</v>
      </c>
      <c r="P19" s="35"/>
    </row>
    <row r="20" ht="21.95" customHeight="1" spans="2:22">
      <c r="B20" s="32"/>
      <c r="C20" s="33" t="s">
        <v>40</v>
      </c>
      <c r="D20" s="46">
        <f>IF(D19&lt;=$L$5,IF(D19/$L$5*D18&lt;$L$6,$L$6,IF(D19/$L$5*D18&lt;=50,D19/$L$5*D18,50)),D18)</f>
        <v>45</v>
      </c>
      <c r="E20" s="46">
        <f t="shared" ref="E20:O20" si="6">IF(E19&lt;=$L$5,IF(E19/$L$5*E18&lt;$L$6,$L$6,IF(E19/$L$5*E18&lt;=50,E19/$L$5*E18,50)),E18)</f>
        <v>35</v>
      </c>
      <c r="F20" s="46">
        <f t="shared" si="6"/>
        <v>40</v>
      </c>
      <c r="G20" s="46">
        <f t="shared" si="6"/>
        <v>35.2</v>
      </c>
      <c r="H20" s="46">
        <f t="shared" si="6"/>
        <v>35</v>
      </c>
      <c r="I20" s="46">
        <f t="shared" si="6"/>
        <v>35</v>
      </c>
      <c r="J20" s="46">
        <f t="shared" si="6"/>
        <v>45</v>
      </c>
      <c r="K20" s="46">
        <f t="shared" si="6"/>
        <v>50</v>
      </c>
      <c r="L20" s="46">
        <f t="shared" si="6"/>
        <v>40</v>
      </c>
      <c r="M20" s="46">
        <f t="shared" si="6"/>
        <v>40</v>
      </c>
      <c r="N20" s="46">
        <f t="shared" si="6"/>
        <v>35</v>
      </c>
      <c r="O20" s="46">
        <f t="shared" si="6"/>
        <v>35</v>
      </c>
      <c r="P20" s="35"/>
    </row>
    <row r="21" ht="21.95" customHeight="1" spans="2:22">
      <c r="B21" s="38"/>
      <c r="C21" s="39" t="s">
        <v>45</v>
      </c>
      <c r="D21" s="47">
        <f>D17*(1-(D20/D18)^2.5)</f>
        <v>0.481537964849633</v>
      </c>
      <c r="E21" s="47">
        <f t="shared" ref="E21:O21" si="7">E17*(1-(E20/E18)^2.5)</f>
        <v>1.18753123645626</v>
      </c>
      <c r="F21" s="47">
        <f t="shared" si="7"/>
        <v>1.01636000820347</v>
      </c>
      <c r="G21" s="47">
        <f t="shared" si="7"/>
        <v>1.06207542883597</v>
      </c>
      <c r="H21" s="47">
        <f t="shared" si="7"/>
        <v>2.93243463445461</v>
      </c>
      <c r="I21" s="47">
        <f t="shared" si="7"/>
        <v>0.971409542266269</v>
      </c>
      <c r="J21" s="47">
        <f t="shared" si="7"/>
        <v>1.30075550433443</v>
      </c>
      <c r="K21" s="47">
        <f t="shared" si="7"/>
        <v>0</v>
      </c>
      <c r="L21" s="47">
        <f t="shared" si="7"/>
        <v>2.23497611981135</v>
      </c>
      <c r="M21" s="47">
        <f t="shared" si="7"/>
        <v>1.07998191795016</v>
      </c>
      <c r="N21" s="47">
        <f t="shared" si="7"/>
        <v>1.31058926704063</v>
      </c>
      <c r="O21" s="47">
        <f t="shared" si="7"/>
        <v>1.22696928193123</v>
      </c>
      <c r="P21" s="41">
        <f>SUM(D21:O21)</f>
        <v>14.804620906134</v>
      </c>
      <c r="Q21" s="7">
        <f>P21/P17</f>
        <v>0.347788084114156</v>
      </c>
      <c r="V21" s="7">
        <f>P21/P27</f>
        <v>0.0347788084114156</v>
      </c>
    </row>
    <row r="22" ht="21.95" customHeight="1" spans="2:22">
      <c r="B22" s="29" t="s">
        <v>46</v>
      </c>
      <c r="C22" s="42" t="s">
        <v>47</v>
      </c>
      <c r="D22" s="43">
        <f>D27*$P$6</f>
        <v>1.03974</v>
      </c>
      <c r="E22" s="43">
        <f t="shared" ref="E22:O22" si="8">E27*$P$6</f>
        <v>1.00632</v>
      </c>
      <c r="F22" s="43">
        <f t="shared" si="8"/>
        <v>1.18854</v>
      </c>
      <c r="G22" s="43">
        <f t="shared" si="8"/>
        <v>1.242</v>
      </c>
      <c r="H22" s="43">
        <f t="shared" si="8"/>
        <v>2.48496</v>
      </c>
      <c r="I22" s="43">
        <f t="shared" si="8"/>
        <v>2.6136</v>
      </c>
      <c r="J22" s="43">
        <f t="shared" si="8"/>
        <v>2.8086</v>
      </c>
      <c r="K22" s="43">
        <f t="shared" si="8"/>
        <v>2.873328</v>
      </c>
      <c r="L22" s="43">
        <f t="shared" si="8"/>
        <v>2.6136</v>
      </c>
      <c r="M22" s="43">
        <f t="shared" si="8"/>
        <v>1.26294</v>
      </c>
      <c r="N22" s="43">
        <f t="shared" si="8"/>
        <v>1.1106</v>
      </c>
      <c r="O22" s="43">
        <f t="shared" si="8"/>
        <v>1.03974</v>
      </c>
      <c r="P22" s="44">
        <f>SUM(D22:O22)</f>
        <v>21.283968</v>
      </c>
    </row>
    <row r="23" ht="21.95" customHeight="1" spans="2:22">
      <c r="B23" s="32"/>
      <c r="C23" s="33" t="s">
        <v>48</v>
      </c>
      <c r="D23" s="48">
        <v>22</v>
      </c>
      <c r="E23" s="48">
        <v>22</v>
      </c>
      <c r="F23" s="48">
        <v>24</v>
      </c>
      <c r="G23" s="48">
        <v>24</v>
      </c>
      <c r="H23" s="48">
        <v>28</v>
      </c>
      <c r="I23" s="48">
        <v>28</v>
      </c>
      <c r="J23" s="48">
        <v>30</v>
      </c>
      <c r="K23" s="48">
        <v>30</v>
      </c>
      <c r="L23" s="48">
        <v>28</v>
      </c>
      <c r="M23" s="48">
        <v>28</v>
      </c>
      <c r="N23" s="48">
        <v>26</v>
      </c>
      <c r="O23" s="48">
        <v>26</v>
      </c>
      <c r="P23" s="35"/>
    </row>
    <row r="24" ht="21.95" customHeight="1" spans="2:22">
      <c r="B24" s="32"/>
      <c r="C24" s="33" t="s">
        <v>49</v>
      </c>
      <c r="D24" s="34">
        <f>IF($H$4="华南",全国主要城市气象情况!D6,IF($H$4="华东",全国主要城市气象情况!D10,IF($H$4="华中",全国主要城市气象情况!D14,IF($H$4="西南",全国主要城市气象情况!D18,IF($H$4="西北",全国主要城市气象情况!D22,IF($H$4="华北",全国主要城市气象情况!D26,0))))))</f>
        <v>21</v>
      </c>
      <c r="E24" s="34">
        <f>IF($H$4="华南",全国主要城市气象情况!E6,IF($H$4="华东",全国主要城市气象情况!E10,IF($H$4="华中",全国主要城市气象情况!E14,IF($H$4="西南",全国主要城市气象情况!E18,IF($H$4="西北",全国主要城市气象情况!E22,IF($H$4="华北",全国主要城市气象情况!E26,0))))))</f>
        <v>21</v>
      </c>
      <c r="F24" s="34">
        <f>IF($H$4="华南",全国主要城市气象情况!F6,IF($H$4="华东",全国主要城市气象情况!F10,IF($H$4="华中",全国主要城市气象情况!F14,IF($H$4="西南",全国主要城市气象情况!F18,IF($H$4="西北",全国主要城市气象情况!F22,IF($H$4="华北",全国主要城市气象情况!F26,0))))))</f>
        <v>21</v>
      </c>
      <c r="G24" s="34">
        <f>IF($H$4="华南",全国主要城市气象情况!G6,IF($H$4="华东",全国主要城市气象情况!G10,IF($H$4="华中",全国主要城市气象情况!G14,IF($H$4="西南",全国主要城市气象情况!G18,IF($H$4="西北",全国主要城市气象情况!G22,IF($H$4="华北",全国主要城市气象情况!G26,0))))))</f>
        <v>21</v>
      </c>
      <c r="H24" s="34">
        <f>IF($H$4="华南",全国主要城市气象情况!H6,IF($H$4="华东",全国主要城市气象情况!H10,IF($H$4="华中",全国主要城市气象情况!H14,IF($H$4="西南",全国主要城市气象情况!H18,IF($H$4="西北",全国主要城市气象情况!H22,IF($H$4="华北",全国主要城市气象情况!H26,0))))))</f>
        <v>21</v>
      </c>
      <c r="I24" s="34">
        <f>IF($H$4="华南",全国主要城市气象情况!I6,IF($H$4="华东",全国主要城市气象情况!I10,IF($H$4="华中",全国主要城市气象情况!I14,IF($H$4="西南",全国主要城市气象情况!I18,IF($H$4="西北",全国主要城市气象情况!I22,IF($H$4="华北",全国主要城市气象情况!I26,0))))))</f>
        <v>25.23961622</v>
      </c>
      <c r="J24" s="34">
        <f>IF($H$4="华南",全国主要城市气象情况!J6,IF($H$4="华东",全国主要城市气象情况!J10,IF($H$4="华中",全国主要城市气象情况!J14,IF($H$4="西南",全国主要城市气象情况!J18,IF($H$4="西北",全国主要城市气象情况!J22,IF($H$4="华北",全国主要城市气象情况!J26,0))))))</f>
        <v>27.788586856</v>
      </c>
      <c r="K24" s="34">
        <f>IF($H$4="华南",全国主要城市气象情况!K6,IF($H$4="华东",全国主要城市气象情况!K10,IF($H$4="华中",全国主要城市气象情况!K14,IF($H$4="西南",全国主要城市气象情况!K18,IF($H$4="西北",全国主要城市气象情况!K22,IF($H$4="华北",全国主要城市气象情况!K26,0))))))</f>
        <v>27.0484109752</v>
      </c>
      <c r="L24" s="34">
        <f>IF($H$4="华南",全国主要城市气象情况!L6,IF($H$4="华东",全国主要城市气象情况!L10,IF($H$4="华中",全国主要城市气象情况!L14,IF($H$4="西南",全国主要城市气象情况!L18,IF($H$4="西北",全国主要城市气象情况!L22,IF($H$4="华北",全国主要城市气象情况!L26,0))))))</f>
        <v>21.1826968088</v>
      </c>
      <c r="M24" s="34">
        <f>IF($H$4="华南",全国主要城市气象情况!M6,IF($H$4="华东",全国主要城市气象情况!M10,IF($H$4="华中",全国主要城市气象情况!M14,IF($H$4="西南",全国主要城市气象情况!M18,IF($H$4="西北",全国主要城市气象情况!M22,IF($H$4="华北",全国主要城市气象情况!M26,0))))))</f>
        <v>21</v>
      </c>
      <c r="N24" s="34">
        <f>IF($H$4="华南",全国主要城市气象情况!N6,IF($H$4="华东",全国主要城市气象情况!N10,IF($H$4="华中",全国主要城市气象情况!N14,IF($H$4="西南",全国主要城市气象情况!N18,IF($H$4="西北",全国主要城市气象情况!N22,IF($H$4="华北",全国主要城市气象情况!N26,0))))))</f>
        <v>21</v>
      </c>
      <c r="O24" s="34">
        <f>IF($H$4="华南",全国主要城市气象情况!O6,IF($H$4="华东",全国主要城市气象情况!O10,IF($H$4="华中",全国主要城市气象情况!O14,IF($H$4="西南",全国主要城市气象情况!O18,IF($H$4="西北",全国主要城市气象情况!O22,IF($H$4="华北",全国主要城市气象情况!O26,0))))))</f>
        <v>21</v>
      </c>
      <c r="P24" s="35"/>
    </row>
    <row r="25" ht="21.95" customHeight="1" spans="2:22">
      <c r="B25" s="38"/>
      <c r="C25" s="49" t="s">
        <v>50</v>
      </c>
      <c r="D25" s="40">
        <f>IF(D24&lt;D23,D8*0.015*(D23-D24),0)</f>
        <v>0.2027493</v>
      </c>
      <c r="E25" s="40">
        <f t="shared" ref="E25:O25" si="9">IF(E24&lt;E23,E8*0.015*(E23-E24),0)</f>
        <v>0.1962324</v>
      </c>
      <c r="F25" s="40">
        <f t="shared" si="9"/>
        <v>0.6952959</v>
      </c>
      <c r="G25" s="40">
        <f t="shared" si="9"/>
        <v>0.72657</v>
      </c>
      <c r="H25" s="40">
        <f t="shared" si="9"/>
        <v>3.3919704</v>
      </c>
      <c r="I25" s="40">
        <f t="shared" si="9"/>
        <v>1.40683511424456</v>
      </c>
      <c r="J25" s="40">
        <f t="shared" si="9"/>
        <v>1.21114011646649</v>
      </c>
      <c r="K25" s="40">
        <f t="shared" si="9"/>
        <v>1.65377226094285</v>
      </c>
      <c r="L25" s="40">
        <f t="shared" si="9"/>
        <v>3.47445220600146</v>
      </c>
      <c r="M25" s="40">
        <f t="shared" si="9"/>
        <v>1.7239131</v>
      </c>
      <c r="N25" s="40">
        <f t="shared" si="9"/>
        <v>1.082835</v>
      </c>
      <c r="O25" s="40">
        <f t="shared" si="9"/>
        <v>1.0137465</v>
      </c>
      <c r="P25" s="41">
        <f>SUM(D25:O25)</f>
        <v>16.7795122976554</v>
      </c>
      <c r="Q25" s="7">
        <f>P25/P8</f>
        <v>0.0606433779267221</v>
      </c>
      <c r="V25" s="7">
        <f>P25/P27</f>
        <v>0.0394181956523693</v>
      </c>
    </row>
    <row r="26" ht="6" customHeight="1" spans="2:22">
      <c r="B26" s="50"/>
      <c r="C26" s="51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3"/>
    </row>
    <row r="27" ht="21.95" customHeight="1" spans="2:22">
      <c r="B27" s="32" t="s">
        <v>51</v>
      </c>
      <c r="C27" s="33" t="s">
        <v>52</v>
      </c>
      <c r="D27" s="54">
        <v>20.7948</v>
      </c>
      <c r="E27" s="54">
        <v>20.1264</v>
      </c>
      <c r="F27" s="54">
        <v>23.7708</v>
      </c>
      <c r="G27" s="54">
        <v>24.84</v>
      </c>
      <c r="H27" s="54">
        <v>49.6992</v>
      </c>
      <c r="I27" s="54">
        <v>52.272</v>
      </c>
      <c r="J27" s="54">
        <v>56.172</v>
      </c>
      <c r="K27" s="54">
        <v>57.46656</v>
      </c>
      <c r="L27" s="54">
        <v>52.272</v>
      </c>
      <c r="M27" s="54">
        <v>25.2588</v>
      </c>
      <c r="N27" s="54">
        <v>22.212</v>
      </c>
      <c r="O27" s="54">
        <v>20.7948</v>
      </c>
      <c r="P27" s="55">
        <f>SUM(D27:O27)</f>
        <v>425.67936</v>
      </c>
    </row>
    <row r="28" ht="21.95" customHeight="1" spans="2:22">
      <c r="B28" s="32"/>
      <c r="C28" s="33" t="s">
        <v>53</v>
      </c>
      <c r="D28" s="34">
        <f>D11+D16+D21+D25</f>
        <v>3.8100223945489</v>
      </c>
      <c r="E28" s="34">
        <f t="shared" ref="E28:O28" si="10">E11+E16+E21+E25</f>
        <v>5.8519717093688</v>
      </c>
      <c r="F28" s="34">
        <f t="shared" si="10"/>
        <v>5.90751872461041</v>
      </c>
      <c r="G28" s="34">
        <f t="shared" si="10"/>
        <v>5.85031628650792</v>
      </c>
      <c r="H28" s="34">
        <f t="shared" si="10"/>
        <v>9.55485303445461</v>
      </c>
      <c r="I28" s="34">
        <f t="shared" si="10"/>
        <v>6.837741772888</v>
      </c>
      <c r="J28" s="34">
        <f t="shared" si="10"/>
        <v>7.30411462946978</v>
      </c>
      <c r="K28" s="34">
        <f t="shared" si="10"/>
        <v>3.89496810094285</v>
      </c>
      <c r="L28" s="34">
        <f t="shared" si="10"/>
        <v>13.5770605654355</v>
      </c>
      <c r="M28" s="34">
        <f t="shared" si="10"/>
        <v>6.9340452538505</v>
      </c>
      <c r="N28" s="34">
        <f t="shared" si="10"/>
        <v>7.03589480112189</v>
      </c>
      <c r="O28" s="34">
        <f t="shared" si="10"/>
        <v>5.17626552178119</v>
      </c>
      <c r="P28" s="55">
        <f>SUM(D28:O28)</f>
        <v>81.7347727949804</v>
      </c>
    </row>
    <row r="29" ht="21.95" customHeight="1" spans="2:22">
      <c r="B29" s="38"/>
      <c r="C29" s="39" t="s">
        <v>54</v>
      </c>
      <c r="D29" s="56">
        <f>P28/P27</f>
        <v>0.192010185307036</v>
      </c>
      <c r="E29" s="56"/>
      <c r="F29" s="56"/>
      <c r="G29" s="57" t="s">
        <v>55</v>
      </c>
      <c r="H29" s="57"/>
      <c r="I29" s="58">
        <v>0.8</v>
      </c>
      <c r="J29" s="58"/>
      <c r="K29" s="58"/>
      <c r="L29" s="59" t="s">
        <v>56</v>
      </c>
      <c r="M29" s="60"/>
      <c r="N29" s="61">
        <f>P28*I29</f>
        <v>65.3878182359843</v>
      </c>
      <c r="O29" s="62"/>
      <c r="P29" s="63"/>
    </row>
    <row r="30" spans="2:22">
      <c r="D30" s="64">
        <f>D28/D27</f>
        <v>0.183219958573725</v>
      </c>
      <c r="E30" s="64">
        <f t="shared" ref="E30:O30" si="11">E28/E27</f>
        <v>0.290760976099491</v>
      </c>
      <c r="F30" s="64">
        <f t="shared" si="11"/>
        <v>0.248519979328016</v>
      </c>
      <c r="G30" s="64">
        <f t="shared" si="11"/>
        <v>0.235519979328016</v>
      </c>
      <c r="H30" s="64">
        <f t="shared" si="11"/>
        <v>0.19225365869983</v>
      </c>
      <c r="I30" s="64">
        <f t="shared" si="11"/>
        <v>0.130810793022804</v>
      </c>
      <c r="J30" s="64">
        <f t="shared" si="11"/>
        <v>0.130031236727725</v>
      </c>
      <c r="K30" s="64">
        <f t="shared" si="11"/>
        <v>0.0677779929918</v>
      </c>
      <c r="L30" s="64">
        <f t="shared" si="11"/>
        <v>0.259738685442216</v>
      </c>
      <c r="M30" s="64">
        <f t="shared" si="11"/>
        <v>0.274519979328016</v>
      </c>
      <c r="N30" s="64">
        <f t="shared" si="11"/>
        <v>0.316760976099491</v>
      </c>
      <c r="O30" s="64">
        <f t="shared" si="11"/>
        <v>0.248921149603804</v>
      </c>
    </row>
  </sheetData>
  <mergeCells count="22">
    <mergeCell ref="B2:P2"/>
    <mergeCell ref="H3:I3"/>
    <mergeCell ref="J3:K3"/>
    <mergeCell ref="M3:O3"/>
    <mergeCell ref="J4:K4"/>
    <mergeCell ref="M4:O4"/>
    <mergeCell ref="J5:K5"/>
    <mergeCell ref="M5:O5"/>
    <mergeCell ref="J6:K6"/>
    <mergeCell ref="M6:O6"/>
    <mergeCell ref="D29:F29"/>
    <mergeCell ref="G29:H29"/>
    <mergeCell ref="I29:K29"/>
    <mergeCell ref="L29:M29"/>
    <mergeCell ref="N29:P29"/>
    <mergeCell ref="B7:B11"/>
    <mergeCell ref="B12:B16"/>
    <mergeCell ref="B17:B21"/>
    <mergeCell ref="B22:B25"/>
    <mergeCell ref="B27:B29"/>
    <mergeCell ref="B3:G6"/>
    <mergeCell ref="H4:I6"/>
  </mergeCells>
  <dataValidations count="1">
    <dataValidation type="list" allowBlank="1" showInputMessage="1" showErrorMessage="1" sqref="H4:I6">
      <formula1>$R$4:$R$9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O26"/>
  <sheetViews>
    <sheetView zoomScale="130" zoomScaleNormal="130" workbookViewId="0">
      <selection activeCell="D6" sqref="D6"/>
    </sheetView>
  </sheetViews>
  <sheetFormatPr defaultColWidth="9" defaultRowHeight="16.8"/>
  <cols>
    <col min="1" max="1" width="3.25" customWidth="1"/>
    <col min="3" max="3" width="15.3839285714286" customWidth="1"/>
    <col min="4" max="5" width="11" customWidth="1"/>
    <col min="6" max="14" width="12.1339285714286" customWidth="1"/>
    <col min="15" max="15" width="11" customWidth="1"/>
  </cols>
  <sheetData>
    <row r="2" ht="17" spans="2:15">
      <c r="B2" s="1" t="s">
        <v>57</v>
      </c>
      <c r="C2" s="1" t="s">
        <v>58</v>
      </c>
      <c r="D2" s="1" t="s">
        <v>59</v>
      </c>
      <c r="E2" s="1" t="s">
        <v>60</v>
      </c>
      <c r="F2" s="1" t="s">
        <v>61</v>
      </c>
      <c r="G2" s="1" t="s">
        <v>62</v>
      </c>
      <c r="H2" s="1" t="s">
        <v>63</v>
      </c>
      <c r="I2" s="1" t="s">
        <v>64</v>
      </c>
      <c r="J2" s="1" t="s">
        <v>65</v>
      </c>
      <c r="K2" s="1" t="s">
        <v>66</v>
      </c>
      <c r="L2" s="1" t="s">
        <v>67</v>
      </c>
      <c r="M2" s="1" t="s">
        <v>68</v>
      </c>
      <c r="N2" s="1" t="s">
        <v>69</v>
      </c>
      <c r="O2" s="1" t="s">
        <v>70</v>
      </c>
    </row>
    <row r="3" ht="17" spans="2:15">
      <c r="B3" s="2" t="s">
        <v>71</v>
      </c>
      <c r="C3" s="1" t="s">
        <v>72</v>
      </c>
      <c r="D3" s="3">
        <v>14.7</v>
      </c>
      <c r="E3" s="3">
        <v>19.5</v>
      </c>
      <c r="F3" s="3">
        <v>21.7</v>
      </c>
      <c r="G3" s="3">
        <v>24.1</v>
      </c>
      <c r="H3" s="3">
        <v>29.1</v>
      </c>
      <c r="I3" s="3">
        <v>28.6</v>
      </c>
      <c r="J3" s="3">
        <v>30.3</v>
      </c>
      <c r="K3" s="3">
        <v>29</v>
      </c>
      <c r="L3" s="3">
        <v>30</v>
      </c>
      <c r="M3" s="3">
        <v>24.4</v>
      </c>
      <c r="N3" s="3">
        <v>20.4</v>
      </c>
      <c r="O3" s="3">
        <v>16.4</v>
      </c>
    </row>
    <row r="4" ht="17" spans="2:15">
      <c r="B4" s="4"/>
      <c r="C4" s="1" t="s">
        <v>73</v>
      </c>
      <c r="D4" s="3">
        <v>54.1</v>
      </c>
      <c r="E4" s="3">
        <v>69.5</v>
      </c>
      <c r="F4" s="3">
        <v>76.5</v>
      </c>
      <c r="G4" s="3">
        <v>77.9</v>
      </c>
      <c r="H4" s="3">
        <v>77.1</v>
      </c>
      <c r="I4" s="3">
        <v>83.1</v>
      </c>
      <c r="J4" s="3">
        <v>76.1</v>
      </c>
      <c r="K4" s="3">
        <v>83.1</v>
      </c>
      <c r="L4" s="3">
        <v>76.3</v>
      </c>
      <c r="M4" s="3">
        <v>75.2</v>
      </c>
      <c r="N4" s="3">
        <v>63.9</v>
      </c>
      <c r="O4" s="3">
        <v>63.7</v>
      </c>
    </row>
    <row r="5" ht="17" spans="2:15">
      <c r="B5" s="4"/>
      <c r="C5" s="1" t="s">
        <v>74</v>
      </c>
      <c r="D5" s="3">
        <v>9.92644743894</v>
      </c>
      <c r="E5" s="3">
        <v>16.037153125</v>
      </c>
      <c r="F5" s="3">
        <v>18.9183589142</v>
      </c>
      <c r="G5" s="3">
        <v>21.33389353766</v>
      </c>
      <c r="H5" s="3">
        <v>25.9102036504</v>
      </c>
      <c r="I5" s="3">
        <v>26.2407115751</v>
      </c>
      <c r="J5" s="3">
        <v>26.88999057382</v>
      </c>
      <c r="K5" s="3">
        <v>26.6213259217</v>
      </c>
      <c r="L5" s="3">
        <v>26.638617876</v>
      </c>
      <c r="M5" s="3">
        <v>21.27037607552</v>
      </c>
      <c r="N5" s="3">
        <v>16.1458614328</v>
      </c>
      <c r="O5" s="3">
        <v>12.53889701032</v>
      </c>
    </row>
    <row r="6" ht="17" spans="2:15">
      <c r="B6" s="5"/>
      <c r="C6" s="1" t="s">
        <v>75</v>
      </c>
      <c r="D6" s="3">
        <f>IF(D5+4.5&lt;21,21,D5+4.5)</f>
        <v>21</v>
      </c>
      <c r="E6" s="3">
        <f t="shared" ref="E6:O6" si="0">IF(E5+4.5&lt;21,21,E5+4.5)</f>
        <v>21</v>
      </c>
      <c r="F6" s="3">
        <f t="shared" si="0"/>
        <v>23.4183589142</v>
      </c>
      <c r="G6" s="3">
        <f t="shared" si="0"/>
        <v>25.83389353766</v>
      </c>
      <c r="H6" s="3">
        <f t="shared" si="0"/>
        <v>30.4102036504</v>
      </c>
      <c r="I6" s="3">
        <f t="shared" si="0"/>
        <v>30.7407115751</v>
      </c>
      <c r="J6" s="3">
        <f t="shared" si="0"/>
        <v>31.38999057382</v>
      </c>
      <c r="K6" s="3">
        <f t="shared" si="0"/>
        <v>31.1213259217</v>
      </c>
      <c r="L6" s="3">
        <f t="shared" si="0"/>
        <v>31.138617876</v>
      </c>
      <c r="M6" s="3">
        <f t="shared" si="0"/>
        <v>25.77037607552</v>
      </c>
      <c r="N6" s="3">
        <f t="shared" si="0"/>
        <v>21</v>
      </c>
      <c r="O6" s="3">
        <f t="shared" si="0"/>
        <v>21</v>
      </c>
    </row>
    <row r="7" ht="17" spans="2:15">
      <c r="B7" s="2" t="s">
        <v>76</v>
      </c>
      <c r="C7" s="1" t="s">
        <v>72</v>
      </c>
      <c r="D7" s="3">
        <v>6.6</v>
      </c>
      <c r="E7" s="3">
        <v>5.8</v>
      </c>
      <c r="F7" s="3">
        <v>13.3</v>
      </c>
      <c r="G7" s="3">
        <v>17.1</v>
      </c>
      <c r="H7" s="3">
        <v>20.2</v>
      </c>
      <c r="I7" s="3">
        <v>26.1</v>
      </c>
      <c r="J7" s="3">
        <v>31.1</v>
      </c>
      <c r="K7" s="3">
        <v>31</v>
      </c>
      <c r="L7" s="3">
        <v>24.3</v>
      </c>
      <c r="M7" s="3">
        <v>18.8</v>
      </c>
      <c r="N7" s="3">
        <v>16.1</v>
      </c>
      <c r="O7" s="3">
        <v>6.4</v>
      </c>
    </row>
    <row r="8" ht="17" spans="2:15">
      <c r="B8" s="4"/>
      <c r="C8" s="1" t="s">
        <v>73</v>
      </c>
      <c r="D8" s="3">
        <v>71</v>
      </c>
      <c r="E8" s="3">
        <v>65</v>
      </c>
      <c r="F8" s="3">
        <v>69</v>
      </c>
      <c r="G8" s="3">
        <v>66</v>
      </c>
      <c r="H8" s="3">
        <v>68</v>
      </c>
      <c r="I8" s="3">
        <v>79</v>
      </c>
      <c r="J8" s="3">
        <v>73</v>
      </c>
      <c r="K8" s="3">
        <v>73</v>
      </c>
      <c r="L8" s="3">
        <v>78</v>
      </c>
      <c r="M8" s="3">
        <v>71</v>
      </c>
      <c r="N8" s="3">
        <v>80</v>
      </c>
      <c r="O8" s="3">
        <v>61</v>
      </c>
    </row>
    <row r="9" ht="17" spans="2:15">
      <c r="B9" s="4"/>
      <c r="C9" s="1" t="s">
        <v>74</v>
      </c>
      <c r="D9" s="3">
        <v>4.3157967952</v>
      </c>
      <c r="E9" s="3">
        <v>3.074247164</v>
      </c>
      <c r="F9" s="3">
        <v>10.3087855727</v>
      </c>
      <c r="G9" s="3">
        <v>13.4376952012</v>
      </c>
      <c r="H9" s="3">
        <v>16.4896763984</v>
      </c>
      <c r="I9" s="3">
        <v>23.3501692773</v>
      </c>
      <c r="J9" s="3">
        <v>27.1708864051</v>
      </c>
      <c r="K9" s="3">
        <v>27.07842148</v>
      </c>
      <c r="L9" s="3">
        <v>21.5337937744</v>
      </c>
      <c r="M9" s="3">
        <v>15.5757571248</v>
      </c>
      <c r="N9" s="3">
        <v>14.060792217</v>
      </c>
      <c r="O9" s="3">
        <v>3.2873990632</v>
      </c>
    </row>
    <row r="10" ht="17" spans="2:15">
      <c r="B10" s="5"/>
      <c r="C10" s="1" t="s">
        <v>75</v>
      </c>
      <c r="D10" s="3">
        <f>IF(D9+4.5&lt;21,21,D9+4.5)</f>
        <v>21</v>
      </c>
      <c r="E10" s="3">
        <f t="shared" ref="E10:O10" si="1">IF(E9+4.5&lt;21,21,E9+4.5)</f>
        <v>21</v>
      </c>
      <c r="F10" s="3">
        <f t="shared" si="1"/>
        <v>21</v>
      </c>
      <c r="G10" s="3">
        <f t="shared" si="1"/>
        <v>21</v>
      </c>
      <c r="H10" s="3">
        <f t="shared" si="1"/>
        <v>21</v>
      </c>
      <c r="I10" s="3">
        <f t="shared" si="1"/>
        <v>27.8501692773</v>
      </c>
      <c r="J10" s="3">
        <f t="shared" si="1"/>
        <v>31.6708864051</v>
      </c>
      <c r="K10" s="3">
        <f t="shared" si="1"/>
        <v>31.57842148</v>
      </c>
      <c r="L10" s="3">
        <f t="shared" si="1"/>
        <v>26.0337937744</v>
      </c>
      <c r="M10" s="3">
        <f t="shared" si="1"/>
        <v>21</v>
      </c>
      <c r="N10" s="3">
        <f t="shared" si="1"/>
        <v>21</v>
      </c>
      <c r="O10" s="3">
        <f t="shared" si="1"/>
        <v>21</v>
      </c>
    </row>
    <row r="11" ht="17" spans="2:15">
      <c r="B11" s="2" t="s">
        <v>77</v>
      </c>
      <c r="C11" s="1" t="s">
        <v>72</v>
      </c>
      <c r="D11" s="3">
        <v>4.7</v>
      </c>
      <c r="E11" s="3">
        <v>4.9</v>
      </c>
      <c r="F11" s="3">
        <v>14.1</v>
      </c>
      <c r="G11" s="3">
        <v>18.4</v>
      </c>
      <c r="H11" s="3">
        <v>21.2</v>
      </c>
      <c r="I11" s="3">
        <v>27.7</v>
      </c>
      <c r="J11" s="3">
        <v>30.1</v>
      </c>
      <c r="K11" s="3">
        <v>31.3</v>
      </c>
      <c r="L11" s="3">
        <v>25.1</v>
      </c>
      <c r="M11" s="3">
        <v>17.6</v>
      </c>
      <c r="N11" s="3">
        <v>14.2</v>
      </c>
      <c r="O11" s="3">
        <v>4.6</v>
      </c>
    </row>
    <row r="12" ht="17" spans="2:15">
      <c r="B12" s="4"/>
      <c r="C12" s="1" t="s">
        <v>73</v>
      </c>
      <c r="D12" s="3">
        <v>85</v>
      </c>
      <c r="E12" s="3">
        <v>79</v>
      </c>
      <c r="F12" s="3">
        <v>78</v>
      </c>
      <c r="G12" s="3">
        <v>72</v>
      </c>
      <c r="H12" s="3">
        <v>76</v>
      </c>
      <c r="I12" s="3">
        <v>78</v>
      </c>
      <c r="J12" s="3">
        <v>77</v>
      </c>
      <c r="K12" s="3">
        <v>67</v>
      </c>
      <c r="L12" s="3">
        <v>62</v>
      </c>
      <c r="M12" s="3">
        <v>73</v>
      </c>
      <c r="N12" s="3">
        <v>80</v>
      </c>
      <c r="O12" s="3">
        <v>67</v>
      </c>
    </row>
    <row r="13" ht="17" spans="2:15">
      <c r="B13" s="4"/>
      <c r="C13" s="1" t="s">
        <v>74</v>
      </c>
      <c r="D13" s="3">
        <v>3.7132789735</v>
      </c>
      <c r="E13" s="3">
        <v>3.3960684733</v>
      </c>
      <c r="F13" s="3">
        <v>11.9745539596</v>
      </c>
      <c r="G13" s="3">
        <v>15.3249058304</v>
      </c>
      <c r="H13" s="3">
        <v>18.3920800768</v>
      </c>
      <c r="I13" s="3">
        <v>24.7214074364</v>
      </c>
      <c r="J13" s="3">
        <v>26.8324597079</v>
      </c>
      <c r="K13" s="3">
        <v>26.3954534281</v>
      </c>
      <c r="L13" s="3">
        <v>20.0606119824</v>
      </c>
      <c r="M13" s="3">
        <v>14.7010034056</v>
      </c>
      <c r="N13" s="3">
        <v>12.270657152</v>
      </c>
      <c r="O13" s="3">
        <v>2.1345461944</v>
      </c>
    </row>
    <row r="14" ht="17" spans="2:15">
      <c r="B14" s="5"/>
      <c r="C14" s="1" t="s">
        <v>75</v>
      </c>
      <c r="D14" s="3">
        <f>IF(D13+4.5&lt;21,21,D13+4.5)</f>
        <v>21</v>
      </c>
      <c r="E14" s="3">
        <f t="shared" ref="E14:O14" si="2">IF(E13+4.5&lt;21,21,E13+4.5)</f>
        <v>21</v>
      </c>
      <c r="F14" s="3">
        <f t="shared" si="2"/>
        <v>21</v>
      </c>
      <c r="G14" s="3">
        <f t="shared" si="2"/>
        <v>21</v>
      </c>
      <c r="H14" s="3">
        <f t="shared" si="2"/>
        <v>22.8920800768</v>
      </c>
      <c r="I14" s="3">
        <f t="shared" si="2"/>
        <v>29.2214074364</v>
      </c>
      <c r="J14" s="3">
        <f t="shared" si="2"/>
        <v>31.3324597079</v>
      </c>
      <c r="K14" s="3">
        <f t="shared" si="2"/>
        <v>30.8954534281</v>
      </c>
      <c r="L14" s="3">
        <f t="shared" si="2"/>
        <v>24.5606119824</v>
      </c>
      <c r="M14" s="3">
        <f t="shared" si="2"/>
        <v>21</v>
      </c>
      <c r="N14" s="3">
        <f t="shared" si="2"/>
        <v>21</v>
      </c>
      <c r="O14" s="3">
        <f t="shared" si="2"/>
        <v>21</v>
      </c>
    </row>
    <row r="15" ht="17" spans="2:15">
      <c r="B15" s="2" t="s">
        <v>78</v>
      </c>
      <c r="C15" s="1" t="s">
        <v>72</v>
      </c>
      <c r="D15" s="3">
        <v>7.5</v>
      </c>
      <c r="E15" s="3">
        <v>7</v>
      </c>
      <c r="F15" s="3">
        <v>16.8</v>
      </c>
      <c r="G15" s="3">
        <v>18.1</v>
      </c>
      <c r="H15" s="3">
        <v>20.6</v>
      </c>
      <c r="I15" s="3">
        <v>25.5</v>
      </c>
      <c r="J15" s="3">
        <v>28.4</v>
      </c>
      <c r="K15" s="3">
        <v>29.9</v>
      </c>
      <c r="L15" s="3">
        <v>21.2</v>
      </c>
      <c r="M15" s="3">
        <v>17.7</v>
      </c>
      <c r="N15" s="3">
        <v>15</v>
      </c>
      <c r="O15" s="3">
        <v>7.1</v>
      </c>
    </row>
    <row r="16" ht="17" spans="2:15">
      <c r="B16" s="4"/>
      <c r="C16" s="1" t="s">
        <v>73</v>
      </c>
      <c r="D16" s="3">
        <v>84</v>
      </c>
      <c r="E16" s="3">
        <v>81</v>
      </c>
      <c r="F16" s="3">
        <v>70</v>
      </c>
      <c r="G16" s="3">
        <v>73</v>
      </c>
      <c r="H16" s="3">
        <v>77</v>
      </c>
      <c r="I16" s="3">
        <v>79</v>
      </c>
      <c r="J16" s="3">
        <v>71</v>
      </c>
      <c r="K16" s="3">
        <v>69</v>
      </c>
      <c r="L16" s="3">
        <v>85</v>
      </c>
      <c r="M16" s="3">
        <v>81</v>
      </c>
      <c r="N16" s="3">
        <v>78</v>
      </c>
      <c r="O16" s="3">
        <v>76</v>
      </c>
    </row>
    <row r="17" ht="17" spans="2:15">
      <c r="B17" s="4"/>
      <c r="C17" s="1" t="s">
        <v>74</v>
      </c>
      <c r="D17" s="3">
        <v>6.298148725</v>
      </c>
      <c r="E17" s="3">
        <v>5.55827204</v>
      </c>
      <c r="F17" s="3">
        <v>13.624885008</v>
      </c>
      <c r="G17" s="3">
        <v>15.1633104091</v>
      </c>
      <c r="H17" s="3">
        <v>17.9507805744</v>
      </c>
      <c r="I17" s="3">
        <v>22.7861569725</v>
      </c>
      <c r="J17" s="3">
        <v>24.3825973872</v>
      </c>
      <c r="K17" s="3">
        <v>25.4483789263</v>
      </c>
      <c r="L17" s="3">
        <v>19.425838336</v>
      </c>
      <c r="M17" s="3">
        <v>15.6749008603</v>
      </c>
      <c r="N17" s="3">
        <v>12.8189683</v>
      </c>
      <c r="O17" s="3">
        <v>5.2153276882</v>
      </c>
    </row>
    <row r="18" ht="17" spans="2:15">
      <c r="B18" s="5"/>
      <c r="C18" s="1" t="s">
        <v>75</v>
      </c>
      <c r="D18" s="3">
        <f>IF(D17+4.5&lt;21,21,D17+4.5)</f>
        <v>21</v>
      </c>
      <c r="E18" s="3">
        <f t="shared" ref="E18:O18" si="3">IF(E17+4.5&lt;21,21,E17+4.5)</f>
        <v>21</v>
      </c>
      <c r="F18" s="3">
        <f t="shared" si="3"/>
        <v>21</v>
      </c>
      <c r="G18" s="3">
        <f t="shared" si="3"/>
        <v>21</v>
      </c>
      <c r="H18" s="3">
        <f t="shared" si="3"/>
        <v>22.4507805744</v>
      </c>
      <c r="I18" s="3">
        <f t="shared" si="3"/>
        <v>27.2861569725</v>
      </c>
      <c r="J18" s="3">
        <f t="shared" si="3"/>
        <v>28.8825973872</v>
      </c>
      <c r="K18" s="3">
        <f t="shared" si="3"/>
        <v>29.9483789263</v>
      </c>
      <c r="L18" s="3">
        <f t="shared" si="3"/>
        <v>23.925838336</v>
      </c>
      <c r="M18" s="3">
        <f t="shared" si="3"/>
        <v>21</v>
      </c>
      <c r="N18" s="3">
        <f t="shared" si="3"/>
        <v>21</v>
      </c>
      <c r="O18" s="3">
        <f t="shared" si="3"/>
        <v>21</v>
      </c>
    </row>
    <row r="19" ht="17" spans="2:15">
      <c r="B19" s="6" t="s">
        <v>79</v>
      </c>
      <c r="C19" s="1" t="s">
        <v>72</v>
      </c>
      <c r="D19" s="3">
        <v>2.4</v>
      </c>
      <c r="E19" s="3">
        <v>3.9</v>
      </c>
      <c r="F19" s="3">
        <v>13</v>
      </c>
      <c r="G19" s="3">
        <v>17.6</v>
      </c>
      <c r="H19" s="3">
        <v>21</v>
      </c>
      <c r="I19" s="3">
        <v>28.4</v>
      </c>
      <c r="J19" s="3">
        <v>27.4</v>
      </c>
      <c r="K19" s="3">
        <v>27.8</v>
      </c>
      <c r="L19" s="3">
        <v>21.3</v>
      </c>
      <c r="M19" s="3">
        <v>13.8</v>
      </c>
      <c r="N19" s="3">
        <v>9.5</v>
      </c>
      <c r="O19" s="3">
        <v>2.2</v>
      </c>
    </row>
    <row r="20" ht="17" spans="2:15">
      <c r="B20" s="4"/>
      <c r="C20" s="1" t="s">
        <v>73</v>
      </c>
      <c r="D20" s="3">
        <v>67</v>
      </c>
      <c r="E20" s="3">
        <v>56</v>
      </c>
      <c r="F20" s="3">
        <v>52</v>
      </c>
      <c r="G20" s="3">
        <v>49</v>
      </c>
      <c r="H20" s="3">
        <v>53</v>
      </c>
      <c r="I20" s="3">
        <v>48</v>
      </c>
      <c r="J20" s="3">
        <v>68</v>
      </c>
      <c r="K20" s="3">
        <v>68</v>
      </c>
      <c r="L20" s="3">
        <v>70</v>
      </c>
      <c r="M20" s="3">
        <v>76</v>
      </c>
      <c r="N20" s="3">
        <v>76</v>
      </c>
      <c r="O20" s="3">
        <v>49</v>
      </c>
    </row>
    <row r="21" ht="17" spans="2:15">
      <c r="B21" s="4"/>
      <c r="C21" s="1" t="s">
        <v>74</v>
      </c>
      <c r="D21" s="3">
        <v>0.1031318424</v>
      </c>
      <c r="E21" s="3">
        <v>0.6576486022</v>
      </c>
      <c r="F21" s="3">
        <v>8.22962932</v>
      </c>
      <c r="G21" s="3">
        <v>11.7567307528</v>
      </c>
      <c r="H21" s="3">
        <v>15.17386558</v>
      </c>
      <c r="I21" s="3">
        <v>20.5172138176</v>
      </c>
      <c r="J21" s="3">
        <v>23.0232430736</v>
      </c>
      <c r="K21" s="3">
        <v>23.3859744624</v>
      </c>
      <c r="L21" s="3">
        <v>17.744652378</v>
      </c>
      <c r="M21" s="3">
        <v>11.4904928688</v>
      </c>
      <c r="N21" s="3">
        <v>7.467363565</v>
      </c>
      <c r="O21" s="3">
        <v>-1.3148897168</v>
      </c>
    </row>
    <row r="22" ht="17" spans="2:15">
      <c r="B22" s="5"/>
      <c r="C22" s="1" t="s">
        <v>75</v>
      </c>
      <c r="D22" s="3">
        <f>IF(D21+4.5&lt;21,21,D21+4.5)</f>
        <v>21</v>
      </c>
      <c r="E22" s="3">
        <f t="shared" ref="E22" si="4">IF(E21+4.5&lt;21,21,E21+4.5)</f>
        <v>21</v>
      </c>
      <c r="F22" s="3">
        <f t="shared" ref="F22" si="5">IF(F21+4.5&lt;21,21,F21+4.5)</f>
        <v>21</v>
      </c>
      <c r="G22" s="3">
        <f t="shared" ref="G22" si="6">IF(G21+4.5&lt;21,21,G21+4.5)</f>
        <v>21</v>
      </c>
      <c r="H22" s="3">
        <f t="shared" ref="H22" si="7">IF(H21+4.5&lt;21,21,H21+4.5)</f>
        <v>21</v>
      </c>
      <c r="I22" s="3">
        <f t="shared" ref="I22" si="8">IF(I21+4.5&lt;21,21,I21+4.5)</f>
        <v>25.0172138176</v>
      </c>
      <c r="J22" s="3">
        <f t="shared" ref="J22" si="9">IF(J21+4.5&lt;21,21,J21+4.5)</f>
        <v>27.5232430736</v>
      </c>
      <c r="K22" s="3">
        <f t="shared" ref="K22" si="10">IF(K21+4.5&lt;21,21,K21+4.5)</f>
        <v>27.8859744624</v>
      </c>
      <c r="L22" s="3">
        <f t="shared" ref="L22" si="11">IF(L21+4.5&lt;21,21,L21+4.5)</f>
        <v>22.244652378</v>
      </c>
      <c r="M22" s="3">
        <f t="shared" ref="M22" si="12">IF(M21+4.5&lt;21,21,M21+4.5)</f>
        <v>21</v>
      </c>
      <c r="N22" s="3">
        <f t="shared" ref="N22" si="13">IF(N21+4.5&lt;21,21,N21+4.5)</f>
        <v>21</v>
      </c>
      <c r="O22" s="3">
        <f t="shared" ref="O22" si="14">IF(O21+4.5&lt;21,21,O21+4.5)</f>
        <v>21</v>
      </c>
    </row>
    <row r="23" ht="17" spans="2:15">
      <c r="B23" s="6" t="s">
        <v>80</v>
      </c>
      <c r="C23" s="1" t="s">
        <v>72</v>
      </c>
      <c r="D23" s="3">
        <v>1.3</v>
      </c>
      <c r="E23" s="3">
        <v>2.8</v>
      </c>
      <c r="F23" s="3">
        <v>10.4</v>
      </c>
      <c r="G23" s="3">
        <v>17.3</v>
      </c>
      <c r="H23" s="3">
        <v>22</v>
      </c>
      <c r="I23" s="3">
        <v>28</v>
      </c>
      <c r="J23" s="3">
        <v>26.6</v>
      </c>
      <c r="K23" s="3">
        <v>26.4</v>
      </c>
      <c r="L23" s="3">
        <v>22.6</v>
      </c>
      <c r="M23" s="3">
        <v>14.6</v>
      </c>
      <c r="N23" s="3">
        <v>10.6</v>
      </c>
      <c r="O23" s="3">
        <v>0.6</v>
      </c>
    </row>
    <row r="24" ht="17" spans="2:15">
      <c r="B24" s="4"/>
      <c r="C24" s="1" t="s">
        <v>73</v>
      </c>
      <c r="D24" s="3">
        <v>56</v>
      </c>
      <c r="E24" s="3">
        <v>37</v>
      </c>
      <c r="F24" s="3">
        <v>47</v>
      </c>
      <c r="G24" s="3">
        <v>45</v>
      </c>
      <c r="H24" s="3">
        <v>41</v>
      </c>
      <c r="I24" s="3">
        <v>51</v>
      </c>
      <c r="J24" s="3">
        <v>75</v>
      </c>
      <c r="K24" s="3">
        <v>71</v>
      </c>
      <c r="L24" s="3">
        <v>54</v>
      </c>
      <c r="M24" s="3">
        <v>55</v>
      </c>
      <c r="N24" s="3">
        <v>58</v>
      </c>
      <c r="O24" s="3">
        <v>37</v>
      </c>
    </row>
    <row r="25" ht="17" spans="2:15">
      <c r="B25" s="4"/>
      <c r="C25" s="1" t="s">
        <v>74</v>
      </c>
      <c r="D25" s="3">
        <v>-1.6592527222</v>
      </c>
      <c r="E25" s="3">
        <v>-1.5572759024</v>
      </c>
      <c r="F25" s="3">
        <v>5.5044925944</v>
      </c>
      <c r="G25" s="3">
        <v>10.9767864055</v>
      </c>
      <c r="H25" s="3">
        <v>14.15133044</v>
      </c>
      <c r="I25" s="3">
        <v>20.73961622</v>
      </c>
      <c r="J25" s="3">
        <v>23.288586856</v>
      </c>
      <c r="K25" s="3">
        <v>22.5484109752</v>
      </c>
      <c r="L25" s="3">
        <v>16.6826968088</v>
      </c>
      <c r="M25" s="3">
        <v>9.943847512</v>
      </c>
      <c r="N25" s="3">
        <v>6.7633008136</v>
      </c>
      <c r="O25" s="3">
        <v>-3.3415803936</v>
      </c>
    </row>
    <row r="26" ht="17" spans="2:15">
      <c r="B26" s="5"/>
      <c r="C26" s="1" t="s">
        <v>75</v>
      </c>
      <c r="D26" s="3">
        <f>IF(D25+4.5&lt;21,21,D25+4.5)</f>
        <v>21</v>
      </c>
      <c r="E26" s="3">
        <f t="shared" ref="E26" si="15">IF(E25+4.5&lt;21,21,E25+4.5)</f>
        <v>21</v>
      </c>
      <c r="F26" s="3">
        <f t="shared" ref="F26" si="16">IF(F25+4.5&lt;21,21,F25+4.5)</f>
        <v>21</v>
      </c>
      <c r="G26" s="3">
        <f t="shared" ref="G26" si="17">IF(G25+4.5&lt;21,21,G25+4.5)</f>
        <v>21</v>
      </c>
      <c r="H26" s="3">
        <f t="shared" ref="H26" si="18">IF(H25+4.5&lt;21,21,H25+4.5)</f>
        <v>21</v>
      </c>
      <c r="I26" s="3">
        <f t="shared" ref="I26" si="19">IF(I25+4.5&lt;21,21,I25+4.5)</f>
        <v>25.23961622</v>
      </c>
      <c r="J26" s="3">
        <f t="shared" ref="J26" si="20">IF(J25+4.5&lt;21,21,J25+4.5)</f>
        <v>27.788586856</v>
      </c>
      <c r="K26" s="3">
        <f t="shared" ref="K26" si="21">IF(K25+4.5&lt;21,21,K25+4.5)</f>
        <v>27.0484109752</v>
      </c>
      <c r="L26" s="3">
        <f t="shared" ref="L26" si="22">IF(L25+4.5&lt;21,21,L25+4.5)</f>
        <v>21.1826968088</v>
      </c>
      <c r="M26" s="3">
        <f t="shared" ref="M26" si="23">IF(M25+4.5&lt;21,21,M25+4.5)</f>
        <v>21</v>
      </c>
      <c r="N26" s="3">
        <f t="shared" ref="N26" si="24">IF(N25+4.5&lt;21,21,N25+4.5)</f>
        <v>21</v>
      </c>
      <c r="O26" s="3">
        <f t="shared" ref="O26" si="25">IF(O25+4.5&lt;21,21,O25+4.5)</f>
        <v>21</v>
      </c>
    </row>
  </sheetData>
  <mergeCells count="6">
    <mergeCell ref="B3:B6"/>
    <mergeCell ref="B7:B10"/>
    <mergeCell ref="B11:B14"/>
    <mergeCell ref="B15:B18"/>
    <mergeCell ref="B19:B22"/>
    <mergeCell ref="B23:B2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【2】按冷站电量数据 </vt:lpstr>
      <vt:lpstr>全国主要城市气象情况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yrth</dc:creator>
  <cp:lastModifiedBy>Zhou Ziye</cp:lastModifiedBy>
  <dcterms:created xsi:type="dcterms:W3CDTF">2019-02-20T09:53:00Z</dcterms:created>
  <dcterms:modified xsi:type="dcterms:W3CDTF">2025-12-17T14:51:04Z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FC604D1A3D3004BBD8524269EADD1CD0_43</vt:lpwstr>
  </property>
  <property fmtid="{D5CDD505-2E9C-101B-9397-08002B2CF9AE}" pid="3" name="KSOProductBuildVer">
    <vt:lpwstr>2052-12.1.24031.24031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