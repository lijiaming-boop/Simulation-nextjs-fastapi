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2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<sst xmlns="http://schemas.openxmlformats.org/spreadsheetml/2006/main" count="181" uniqueCount="109">
  <si>
    <t>空压站调研表 2026版</t>
  </si>
  <si>
    <t>企业名称</t>
  </si>
  <si>
    <t>蔚来汽车科技（安徽）有限公司</t>
  </si>
  <si>
    <t>采集时间</t>
  </si>
  <si>
    <t>填表的时间</t>
  </si>
  <si>
    <r>
      <rPr>
        <b/>
        <sz val="11"/>
        <color theme="1"/>
        <rFont val="等线"/>
        <charset val="134"/>
        <scheme val="minor"/>
      </rPr>
      <t xml:space="preserve">企业共配置 </t>
    </r>
    <r>
      <rPr>
        <b/>
        <u/>
        <sz val="11"/>
        <color theme="1"/>
        <rFont val="等线"/>
        <charset val="134"/>
        <scheme val="minor"/>
      </rPr>
      <t xml:space="preserve"> 1   </t>
    </r>
    <r>
      <rPr>
        <b/>
        <sz val="11"/>
        <color theme="1"/>
        <rFont val="等线"/>
        <charset val="134"/>
        <scheme val="minor"/>
      </rPr>
      <t xml:space="preserve"> 座空压站，站房间管网 是（是）联通，共配置空压机</t>
    </r>
    <r>
      <rPr>
        <b/>
        <u/>
        <sz val="11"/>
        <color theme="1"/>
        <rFont val="等线"/>
        <charset val="134"/>
        <scheme val="minor"/>
      </rPr>
      <t xml:space="preserve">  8   </t>
    </r>
    <r>
      <rPr>
        <b/>
        <sz val="11"/>
        <color theme="1"/>
        <rFont val="等线"/>
        <charset val="134"/>
        <scheme val="minor"/>
      </rPr>
      <t xml:space="preserve">台，其中离心式空压机  </t>
    </r>
    <r>
      <rPr>
        <b/>
        <u/>
        <sz val="11"/>
        <color theme="1"/>
        <rFont val="等线"/>
        <charset val="134"/>
        <scheme val="minor"/>
      </rPr>
      <t xml:space="preserve">  4   </t>
    </r>
    <r>
      <rPr>
        <b/>
        <sz val="11"/>
        <color theme="1"/>
        <rFont val="等线"/>
        <charset val="134"/>
        <scheme val="minor"/>
      </rPr>
      <t>台，正生产阶段启用2台离心机+1台变频螺杆空压机；非生产阶段启用1台工频+1台变频螺杆空压机。
，主管网要求供应压缩空气最低压力为</t>
    </r>
    <r>
      <rPr>
        <b/>
        <u/>
        <sz val="11"/>
        <color theme="1"/>
        <rFont val="等线"/>
        <charset val="134"/>
        <scheme val="minor"/>
      </rPr>
      <t xml:space="preserve">   6.8 </t>
    </r>
    <r>
      <rPr>
        <b/>
        <sz val="11"/>
        <color theme="1"/>
        <rFont val="等线"/>
        <charset val="134"/>
        <scheme val="minor"/>
      </rPr>
      <t>bar，当压力低于</t>
    </r>
    <r>
      <rPr>
        <b/>
        <u/>
        <sz val="11"/>
        <color theme="1"/>
        <rFont val="等线"/>
        <charset val="134"/>
        <scheme val="minor"/>
      </rPr>
      <t xml:space="preserve">      6.5  </t>
    </r>
    <r>
      <rPr>
        <b/>
        <sz val="11"/>
        <color theme="1"/>
        <rFont val="等线"/>
        <charset val="134"/>
        <scheme val="minor"/>
      </rPr>
      <t xml:space="preserve"> bar时，</t>
    </r>
    <r>
      <rPr>
        <b/>
        <u/>
        <sz val="11"/>
        <color theme="1"/>
        <rFont val="等线"/>
        <charset val="134"/>
        <scheme val="minor"/>
      </rPr>
      <t xml:space="preserve"> </t>
    </r>
    <r>
      <rPr>
        <b/>
        <sz val="11"/>
        <color theme="1"/>
        <rFont val="等线"/>
        <charset val="134"/>
        <scheme val="minor"/>
      </rPr>
      <t>涂装</t>
    </r>
    <r>
      <rPr>
        <b/>
        <u/>
        <sz val="11"/>
        <color theme="1"/>
        <rFont val="等线"/>
        <charset val="134"/>
        <scheme val="minor"/>
      </rPr>
      <t xml:space="preserve">     </t>
    </r>
    <r>
      <rPr>
        <b/>
        <sz val="11"/>
        <color theme="1"/>
        <rFont val="等线"/>
        <charset val="134"/>
        <scheme val="minor"/>
      </rPr>
      <t xml:space="preserve"> 车间优先反馈压力过低影响生产设备运行，当前平均压力7.1bar。
</t>
    </r>
    <r>
      <rPr>
        <b/>
        <sz val="11"/>
        <color rgb="FFFF0000"/>
        <rFont val="等线"/>
        <charset val="134"/>
        <scheme val="minor"/>
      </rPr>
      <t>（这个是总概况，这个填写比较重要，可以判断出总体项目的标的规模）</t>
    </r>
  </si>
  <si>
    <t>项目地点</t>
  </si>
  <si>
    <t>精准到工业园区，或道路门牌号</t>
  </si>
  <si>
    <t>联系人</t>
  </si>
  <si>
    <t>联系人名字职务</t>
  </si>
  <si>
    <t>压缩空气用途</t>
  </si>
  <si>
    <t>主要填写空气用途，比如仪表用气、生产设备动力用气、吹扫等，这个用于评估了解用气是否会有波动</t>
  </si>
  <si>
    <t>维护状况</t>
  </si>
  <si>
    <t>是否进行过机头大修</t>
  </si>
  <si>
    <t>是否存在机子大维修的情况</t>
  </si>
  <si>
    <t>系统能耗数据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</si>
  <si>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</si>
  <si>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</si>
  <si>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</si>
  <si>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</si>
  <si>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</si>
  <si>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</si>
  <si>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</si>
  <si>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</si>
  <si>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</si>
  <si>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</si>
  <si>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</si>
  <si>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</si>
  <si>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年能耗</t>
  </si>
  <si>
    <t>平均电价</t>
  </si>
  <si>
    <t>时间</t>
  </si>
  <si>
    <r>
      <rPr>
        <sz val="11"/>
        <color theme="1"/>
        <rFont val="等线"/>
        <charset val="134"/>
        <scheme val="minor"/>
      </rPr>
      <t xml:space="preserve">第1天
</t>
    </r>
    <r>
      <rPr>
        <b/>
        <sz val="11"/>
        <color rgb="FFFF0000"/>
        <rFont val="等线"/>
        <charset val="134"/>
        <scheme val="minor"/>
      </rPr>
      <t>（2026年</t>
    </r>
    <r>
      <rPr>
        <b/>
        <u/>
        <sz val="11"/>
        <color rgb="FFFF0000"/>
        <rFont val="等线"/>
        <charset val="134"/>
        <scheme val="minor"/>
      </rPr>
      <t xml:space="preserve">   4   </t>
    </r>
    <r>
      <rPr>
        <b/>
        <sz val="11"/>
        <color rgb="FFFF0000"/>
        <rFont val="等线"/>
        <charset val="134"/>
        <scheme val="minor"/>
      </rPr>
      <t>月</t>
    </r>
    <r>
      <rPr>
        <b/>
        <u/>
        <sz val="11"/>
        <color rgb="FFFF0000"/>
        <rFont val="等线"/>
        <charset val="134"/>
        <scheme val="minor"/>
      </rPr>
      <t xml:space="preserve">  9    </t>
    </r>
    <r>
      <rPr>
        <b/>
        <sz val="11"/>
        <color rgb="FFFF0000"/>
        <rFont val="等线"/>
        <charset val="134"/>
        <scheme val="minor"/>
      </rPr>
      <t>日）</t>
    </r>
  </si>
  <si>
    <r>
      <rPr>
        <b/>
        <sz val="11"/>
        <color rgb="FFFF0000"/>
        <rFont val="等线"/>
        <charset val="134"/>
        <scheme val="minor"/>
      </rPr>
      <t>第7天
（2026年</t>
    </r>
    <r>
      <rPr>
        <b/>
        <u/>
        <sz val="11"/>
        <color rgb="FFFF0000"/>
        <rFont val="等线"/>
        <charset val="134"/>
        <scheme val="minor"/>
      </rPr>
      <t xml:space="preserve">   4   </t>
    </r>
    <r>
      <rPr>
        <b/>
        <sz val="11"/>
        <color rgb="FFFF0000"/>
        <rFont val="等线"/>
        <charset val="134"/>
        <scheme val="minor"/>
      </rPr>
      <t>月</t>
    </r>
    <r>
      <rPr>
        <b/>
        <u/>
        <sz val="11"/>
        <color rgb="FFFF0000"/>
        <rFont val="等线"/>
        <charset val="134"/>
        <scheme val="minor"/>
      </rPr>
      <t xml:space="preserve">    16  </t>
    </r>
    <r>
      <rPr>
        <b/>
        <sz val="11"/>
        <color rgb="FFFF0000"/>
        <rFont val="等线"/>
        <charset val="134"/>
        <scheme val="minor"/>
      </rPr>
      <t>日）</t>
    </r>
  </si>
  <si>
    <t>空压站</t>
  </si>
  <si>
    <t>站房</t>
  </si>
  <si>
    <t>序号</t>
  </si>
  <si>
    <t>品牌</t>
  </si>
  <si>
    <r>
      <rPr>
        <sz val="11"/>
        <color theme="1"/>
        <rFont val="等线"/>
        <charset val="134"/>
        <scheme val="minor"/>
      </rPr>
      <t>压缩形式</t>
    </r>
    <r>
      <rPr>
        <sz val="11"/>
        <color rgb="FFFF0000"/>
        <rFont val="等线"/>
        <charset val="134"/>
        <scheme val="minor"/>
      </rPr>
      <t>（变频or工频）</t>
    </r>
  </si>
  <si>
    <t>型号</t>
  </si>
  <si>
    <t>额定功率</t>
  </si>
  <si>
    <t>额定电压</t>
  </si>
  <si>
    <t>额定流量</t>
  </si>
  <si>
    <t>额定压力</t>
  </si>
  <si>
    <t>加载压力</t>
  </si>
  <si>
    <t>卸载压力</t>
  </si>
  <si>
    <t>出厂时间</t>
  </si>
  <si>
    <t>运行状态/排气压力</t>
  </si>
  <si>
    <t>需求压力</t>
  </si>
  <si>
    <t>运行总时间</t>
  </si>
  <si>
    <t>加载总时间</t>
  </si>
  <si>
    <t>总管压力</t>
  </si>
  <si>
    <t>kW</t>
  </si>
  <si>
    <t>V</t>
  </si>
  <si>
    <r>
      <rPr>
        <sz val="11"/>
        <color theme="1"/>
        <rFont val="等线"/>
        <charset val="134"/>
        <scheme val="minor"/>
      </rPr>
      <t>m</t>
    </r>
    <r>
      <rPr>
        <sz val="10.5"/>
        <color theme="1"/>
        <rFont val="宋体"/>
        <charset val="134"/>
      </rPr>
      <t>³</t>
    </r>
    <r>
      <rPr>
        <sz val="10.5"/>
        <color theme="1"/>
        <rFont val="Calibri"/>
        <charset val="134"/>
      </rPr>
      <t>/min</t>
    </r>
  </si>
  <si>
    <t>bar</t>
  </si>
  <si>
    <t>年</t>
  </si>
  <si>
    <t>h</t>
  </si>
  <si>
    <t>螺杆机</t>
  </si>
  <si>
    <t>站房名称</t>
  </si>
  <si>
    <t>主机名称</t>
  </si>
  <si>
    <t>机子品牌</t>
  </si>
  <si>
    <t>（变频or工频）</t>
  </si>
  <si>
    <t>铭牌上有</t>
  </si>
  <si>
    <t>铭牌上有
安全阀限压力</t>
  </si>
  <si>
    <t>客户设定的压力值，不同序号机子可能不同</t>
  </si>
  <si>
    <t>运行/检修</t>
  </si>
  <si>
    <t>生产车间使用侧需要的压力</t>
  </si>
  <si>
    <t>控制面板上有</t>
  </si>
  <si>
    <t>控制面板上有，变频机子不显示单独加载时间，不用抄录加载时间</t>
  </si>
  <si>
    <t>空压站房出口总管道的压力值</t>
  </si>
  <si>
    <t>F2</t>
  </si>
  <si>
    <t>阿特拉斯</t>
  </si>
  <si>
    <t>工频</t>
  </si>
  <si>
    <t>ZR275 CLASSIC-8.6 CHN 380/50</t>
  </si>
  <si>
    <t>备用</t>
  </si>
  <si>
    <t xml:space="preserve">备用 </t>
  </si>
  <si>
    <t>变频</t>
  </si>
  <si>
    <t>ZR315VSD-8.6 CLASSIC CHN 380/50</t>
  </si>
  <si>
    <t>运行</t>
  </si>
  <si>
    <t>离心机</t>
  </si>
  <si>
    <t>运行状态排气压力/电流</t>
  </si>
  <si>
    <t>是否存在放空问题</t>
  </si>
  <si>
    <t>母管压力</t>
  </si>
  <si>
    <t>IGV/BOV开度</t>
  </si>
  <si>
    <t>%</t>
  </si>
  <si>
    <t>ZH800-8</t>
  </si>
  <si>
    <t>无</t>
  </si>
  <si>
    <t>备</t>
  </si>
  <si>
    <t>100/0</t>
  </si>
  <si>
    <t>干燥机</t>
  </si>
  <si>
    <t>站点</t>
  </si>
  <si>
    <t>类型（冷干机or微热再生吸干机or余热再生吸干机or零气耗吸干机）</t>
  </si>
  <si>
    <t>处理气量</t>
  </si>
  <si>
    <t>数量</t>
  </si>
  <si>
    <t>显示压力</t>
  </si>
  <si>
    <t>露点</t>
  </si>
  <si>
    <t>储气罐/缓冲罐</t>
  </si>
  <si>
    <t>名称</t>
  </si>
  <si>
    <t>容积</t>
  </si>
  <si>
    <t>总管</t>
  </si>
  <si>
    <t>去往车间</t>
  </si>
  <si>
    <t>管径</t>
  </si>
  <si>
    <t>现有管路是否有计量表计</t>
  </si>
  <si>
    <t>台</t>
  </si>
  <si>
    <t>℃</t>
  </si>
  <si>
    <t>m³</t>
  </si>
  <si>
    <t>DN</t>
  </si>
  <si>
    <t>压力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</si>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</sst>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b/>
      <u/>
      <sz val="11"/>
      <color theme="1"/>
      <name val="等线"/>
      <charset val="134"/>
      <scheme val="minor"/>
    </font>
    <font>
      <b/>
      <u/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58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58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"/>
  <sheetViews>
    <sheetView tabSelected="1" zoomScale="70" zoomScaleNormal="70" topLeftCell="A5" workbookViewId="0">
      <selection activeCell="L16" sqref="L16"/>
    </sheetView>
  </sheetViews>
  <sheetFormatPr defaultColWidth="9" defaultRowHeight="25" customHeight="1"/>
  <cols>
    <col min="1" max="1" width="15.1416666666667" style="2" customWidth="1"/>
    <col min="2" max="2" width="12.5083333333333" style="2" customWidth="1"/>
    <col min="3" max="3" width="9.14166666666667" style="2"/>
    <col min="4" max="4" width="27.85" style="2" customWidth="1"/>
    <col min="5" max="5" width="19.7916666666667" style="2" customWidth="1"/>
    <col min="6" max="6" width="32.7333333333333" style="2" customWidth="1"/>
    <col min="7" max="8" width="9.14166666666667" style="2"/>
    <col min="9" max="9" width="15.4333333333333" style="2" customWidth="1"/>
    <col min="10" max="10" width="9.14166666666667" style="2"/>
    <col min="11" max="11" width="10.75" style="2" customWidth="1"/>
    <col min="12" max="12" width="10.55" style="2" customWidth="1"/>
    <col min="13" max="13" width="9.14166666666667" style="2"/>
    <col min="14" max="14" width="14.1666666666667" style="2" customWidth="1"/>
    <col min="15" max="15" width="14.1333333333333" style="2" customWidth="1"/>
    <col min="16" max="17" width="12.6333333333333" style="2" customWidth="1"/>
    <col min="18" max="18" width="13.4666666666667" style="2" customWidth="1"/>
    <col min="19" max="19" width="12.6333333333333" customWidth="1"/>
    <col min="20" max="20" width="15.0916666666667" customWidth="1"/>
  </cols>
  <sheetData>
    <row r="1" customHeight="1" spans="1:22">
      <c r="S1" s="2"/>
      <c r="T1" s="2"/>
      <c r="U1" s="2"/>
      <c r="V1" s="2"/>
    </row>
    <row r="2" customHeight="1" spans="1:2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"/>
      <c r="V2" s="2"/>
    </row>
    <row r="3" customHeight="1" spans="1:22">
      <c r="A3" s="4" t="s">
        <v>1</v>
      </c>
      <c r="B3" s="5" t="s">
        <v>2</v>
      </c>
      <c r="C3" s="6"/>
      <c r="D3" s="6"/>
      <c r="E3" s="7"/>
      <c r="F3" s="4" t="s">
        <v>3</v>
      </c>
      <c r="G3" s="5" t="s">
        <v>4</v>
      </c>
      <c r="H3" s="6"/>
      <c r="I3" s="7"/>
      <c r="J3" s="8" t="s">
        <v>5</v>
      </c>
      <c r="K3" s="8"/>
      <c r="L3" s="8"/>
      <c r="M3" s="8"/>
      <c r="N3" s="8"/>
      <c r="O3" s="8"/>
      <c r="P3" s="8"/>
      <c r="Q3" s="8"/>
      <c r="R3" s="8"/>
      <c r="S3" s="8"/>
      <c r="T3" s="8"/>
    </row>
    <row r="4" customHeight="1" spans="1:22">
      <c r="A4" s="4" t="s">
        <v>6</v>
      </c>
      <c r="B4" s="5" t="s">
        <v>7</v>
      </c>
      <c r="C4" s="6"/>
      <c r="D4" s="6"/>
      <c r="E4" s="7"/>
      <c r="F4" s="4" t="s">
        <v>8</v>
      </c>
      <c r="G4" s="5" t="s">
        <v>9</v>
      </c>
      <c r="H4" s="6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ht="34" customHeight="1" spans="1:22">
      <c r="A5" s="4" t="s">
        <v>10</v>
      </c>
      <c r="B5" s="9" t="s">
        <v>11</v>
      </c>
      <c r="C5" s="10"/>
      <c r="D5" s="10"/>
      <c r="E5" s="11"/>
      <c r="F5" s="4" t="s">
        <v>12</v>
      </c>
      <c r="G5" s="4" t="s">
        <v>13</v>
      </c>
      <c r="H5" s="4"/>
      <c r="I5" s="12" t="s">
        <v>14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customHeight="1" spans="1:22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  <c r="I6" s="4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3" t="s">
        <v>28</v>
      </c>
      <c r="O6" s="13" t="s">
        <v>29</v>
      </c>
      <c r="P6" s="13" t="s">
        <v>30</v>
      </c>
      <c r="Q6" s="13"/>
      <c r="R6" s="13"/>
      <c r="S6" s="13"/>
      <c r="T6" s="4"/>
    </row>
    <row r="7" ht="59" customHeight="1" spans="1:22">
      <c r="A7" s="4"/>
      <c r="B7" s="12">
        <v>862146</v>
      </c>
      <c r="C7" s="4">
        <v>678595</v>
      </c>
      <c r="D7" s="4">
        <v>800543</v>
      </c>
      <c r="E7" s="4">
        <v>831149</v>
      </c>
      <c r="F7" s="4">
        <v>894415</v>
      </c>
      <c r="G7" s="4">
        <v>893195</v>
      </c>
      <c r="H7" s="4">
        <v>857897</v>
      </c>
      <c r="I7" s="4">
        <v>734115</v>
      </c>
      <c r="J7" s="4">
        <v>793183</v>
      </c>
      <c r="K7" s="4">
        <v>926859</v>
      </c>
      <c r="L7" s="4">
        <v>810025</v>
      </c>
      <c r="M7" s="4">
        <v>6483884</v>
      </c>
      <c r="N7" s="4">
        <f>SUM(B7:M7)</f>
        <v>15566006</v>
      </c>
      <c r="O7" s="14">
        <v>0.715</v>
      </c>
      <c r="P7" s="15" t="s">
        <v>31</v>
      </c>
      <c r="Q7" s="16"/>
      <c r="R7" s="17" t="s">
        <v>32</v>
      </c>
      <c r="S7" s="18"/>
      <c r="T7" s="4"/>
    </row>
    <row r="8" ht="59" customHeight="1" spans="1:22">
      <c r="A8" s="4" t="s">
        <v>33</v>
      </c>
      <c r="B8" s="4" t="s">
        <v>34</v>
      </c>
      <c r="C8" s="4" t="s">
        <v>35</v>
      </c>
      <c r="D8" s="4" t="s">
        <v>36</v>
      </c>
      <c r="E8" s="19" t="s">
        <v>37</v>
      </c>
      <c r="F8" s="4" t="s">
        <v>38</v>
      </c>
      <c r="G8" s="4" t="s">
        <v>39</v>
      </c>
      <c r="H8" s="4" t="s">
        <v>40</v>
      </c>
      <c r="I8" s="4" t="s">
        <v>41</v>
      </c>
      <c r="J8" s="4" t="s">
        <v>42</v>
      </c>
      <c r="K8" s="4" t="s">
        <v>43</v>
      </c>
      <c r="L8" s="4" t="s">
        <v>44</v>
      </c>
      <c r="M8" s="4" t="s">
        <v>45</v>
      </c>
      <c r="N8" s="20" t="s">
        <v>46</v>
      </c>
      <c r="O8" s="4" t="s">
        <v>47</v>
      </c>
      <c r="P8" s="4" t="s">
        <v>48</v>
      </c>
      <c r="Q8" s="4" t="s">
        <v>49</v>
      </c>
      <c r="R8" s="4" t="s">
        <v>48</v>
      </c>
      <c r="S8" s="4" t="s">
        <v>49</v>
      </c>
      <c r="T8" s="21" t="s">
        <v>50</v>
      </c>
    </row>
    <row r="9" ht="59" customHeight="1" spans="1:22">
      <c r="A9" s="4"/>
      <c r="B9" s="4"/>
      <c r="C9" s="4"/>
      <c r="D9" s="4"/>
      <c r="E9" s="20"/>
      <c r="F9" s="4"/>
      <c r="G9" s="4" t="s">
        <v>51</v>
      </c>
      <c r="H9" s="4" t="s">
        <v>52</v>
      </c>
      <c r="I9" s="4" t="s">
        <v>53</v>
      </c>
      <c r="J9" s="4" t="s">
        <v>54</v>
      </c>
      <c r="K9" s="4" t="s">
        <v>54</v>
      </c>
      <c r="L9" s="4" t="s">
        <v>54</v>
      </c>
      <c r="M9" s="4" t="s">
        <v>55</v>
      </c>
      <c r="N9" s="20"/>
      <c r="O9" s="4" t="s">
        <v>54</v>
      </c>
      <c r="P9" s="4" t="s">
        <v>56</v>
      </c>
      <c r="Q9" s="4" t="s">
        <v>56</v>
      </c>
      <c r="R9" s="4" t="s">
        <v>56</v>
      </c>
      <c r="S9" s="4" t="s">
        <v>56</v>
      </c>
      <c r="T9" s="21" t="s">
        <v>54</v>
      </c>
    </row>
    <row r="10" ht="77" customHeight="1" spans="1:22">
      <c r="A10" s="22" t="s">
        <v>57</v>
      </c>
      <c r="B10" s="23" t="s">
        <v>58</v>
      </c>
      <c r="C10" s="23" t="s">
        <v>59</v>
      </c>
      <c r="D10" s="23" t="s">
        <v>60</v>
      </c>
      <c r="E10" s="23" t="s">
        <v>61</v>
      </c>
      <c r="F10" s="23" t="s">
        <v>62</v>
      </c>
      <c r="G10" s="23" t="s">
        <v>62</v>
      </c>
      <c r="H10" s="23" t="s">
        <v>62</v>
      </c>
      <c r="I10" s="23"/>
      <c r="J10" s="21" t="s">
        <v>63</v>
      </c>
      <c r="K10" s="21" t="s">
        <v>64</v>
      </c>
      <c r="L10" s="21" t="s">
        <v>64</v>
      </c>
      <c r="M10" s="23" t="s">
        <v>62</v>
      </c>
      <c r="N10" s="23" t="s">
        <v>65</v>
      </c>
      <c r="O10" s="21" t="s">
        <v>66</v>
      </c>
      <c r="P10" s="23" t="s">
        <v>67</v>
      </c>
      <c r="Q10" s="21" t="s">
        <v>68</v>
      </c>
      <c r="R10" s="23" t="s">
        <v>67</v>
      </c>
      <c r="S10" s="21" t="s">
        <v>68</v>
      </c>
      <c r="T10" s="21" t="s">
        <v>69</v>
      </c>
    </row>
    <row r="11" customHeight="1" spans="1:22">
      <c r="A11" s="22"/>
      <c r="B11" s="24" t="s">
        <v>70</v>
      </c>
      <c r="C11" s="4">
        <v>1</v>
      </c>
      <c r="D11" s="4" t="s">
        <v>71</v>
      </c>
      <c r="E11" s="19" t="s">
        <v>72</v>
      </c>
      <c r="F11" s="4" t="s">
        <v>73</v>
      </c>
      <c r="G11" s="4">
        <v>275</v>
      </c>
      <c r="H11" s="4">
        <v>380</v>
      </c>
      <c r="I11" s="4">
        <v>43.1</v>
      </c>
      <c r="J11" s="4">
        <v>0.86</v>
      </c>
      <c r="K11" s="4">
        <v>7.2</v>
      </c>
      <c r="L11" s="4">
        <v>7.8</v>
      </c>
      <c r="M11" s="25">
        <v>44409</v>
      </c>
      <c r="N11" s="4" t="s">
        <v>74</v>
      </c>
      <c r="O11" s="16">
        <v>6.8</v>
      </c>
      <c r="P11" s="26">
        <v>9929</v>
      </c>
      <c r="Q11" s="26">
        <v>9806.5</v>
      </c>
      <c r="R11" s="26">
        <v>9961</v>
      </c>
      <c r="S11" s="27">
        <v>9824</v>
      </c>
      <c r="T11" s="16"/>
    </row>
    <row r="12" customHeight="1" spans="1:22">
      <c r="A12" s="22"/>
      <c r="B12" s="22"/>
      <c r="C12" s="4">
        <v>2</v>
      </c>
      <c r="D12" s="4" t="s">
        <v>71</v>
      </c>
      <c r="E12" s="19" t="s">
        <v>72</v>
      </c>
      <c r="F12" s="4" t="s">
        <v>73</v>
      </c>
      <c r="G12" s="4">
        <v>275</v>
      </c>
      <c r="H12" s="4">
        <v>380</v>
      </c>
      <c r="I12" s="4">
        <v>43.1</v>
      </c>
      <c r="J12" s="4">
        <v>0.86</v>
      </c>
      <c r="K12" s="4">
        <v>7.3</v>
      </c>
      <c r="L12" s="4">
        <v>7.8</v>
      </c>
      <c r="M12" s="25">
        <v>44409</v>
      </c>
      <c r="N12" s="4" t="s">
        <v>75</v>
      </c>
      <c r="O12" s="16">
        <v>6.8</v>
      </c>
      <c r="P12" s="26">
        <v>10766</v>
      </c>
      <c r="Q12" s="26">
        <v>10438.3</v>
      </c>
      <c r="R12" s="26">
        <v>10815</v>
      </c>
      <c r="S12" s="27">
        <v>10491</v>
      </c>
      <c r="T12" s="16"/>
    </row>
    <row r="13" customHeight="1" spans="1:22">
      <c r="A13" s="22"/>
      <c r="B13" s="22"/>
      <c r="C13" s="2">
        <v>3</v>
      </c>
      <c r="D13" s="4" t="s">
        <v>71</v>
      </c>
      <c r="E13" s="19" t="s">
        <v>76</v>
      </c>
      <c r="F13" s="4" t="s">
        <v>77</v>
      </c>
      <c r="G13" s="4">
        <v>300</v>
      </c>
      <c r="H13" s="4">
        <v>380</v>
      </c>
      <c r="I13" s="4">
        <v>47.3</v>
      </c>
      <c r="J13" s="4">
        <v>0.86</v>
      </c>
      <c r="K13" s="4">
        <v>7.3</v>
      </c>
      <c r="L13" s="4">
        <v>7.7</v>
      </c>
      <c r="M13" s="25">
        <v>44409</v>
      </c>
      <c r="N13" s="4" t="s">
        <v>78</v>
      </c>
      <c r="O13" s="16">
        <v>6.8</v>
      </c>
      <c r="P13" s="26">
        <v>19048</v>
      </c>
      <c r="Q13" s="16"/>
      <c r="R13" s="26">
        <v>19229</v>
      </c>
      <c r="S13" s="28"/>
      <c r="T13" s="16"/>
    </row>
    <row r="14" customHeight="1" spans="1:22">
      <c r="A14" s="22"/>
      <c r="B14" s="13"/>
      <c r="C14" s="4">
        <v>4</v>
      </c>
      <c r="D14" s="4" t="s">
        <v>71</v>
      </c>
      <c r="E14" s="19" t="s">
        <v>76</v>
      </c>
      <c r="F14" s="4" t="s">
        <v>77</v>
      </c>
      <c r="G14" s="4">
        <v>300</v>
      </c>
      <c r="H14" s="4">
        <v>380</v>
      </c>
      <c r="I14" s="4">
        <v>47.3</v>
      </c>
      <c r="J14" s="4">
        <v>0.86</v>
      </c>
      <c r="K14" s="4">
        <v>7.3</v>
      </c>
      <c r="L14" s="4">
        <v>7.6</v>
      </c>
      <c r="M14" s="25">
        <v>44409</v>
      </c>
      <c r="N14" s="4">
        <v>7.5</v>
      </c>
      <c r="O14" s="16">
        <v>6.8</v>
      </c>
      <c r="P14" s="26">
        <v>14648</v>
      </c>
      <c r="Q14" s="16"/>
      <c r="R14" s="26">
        <v>14884</v>
      </c>
      <c r="S14" s="28"/>
      <c r="T14" s="16"/>
    </row>
    <row r="15" customHeight="1" spans="1:22">
      <c r="A15" s="24" t="s">
        <v>79</v>
      </c>
      <c r="B15" s="4" t="s">
        <v>34</v>
      </c>
      <c r="C15" s="4" t="s">
        <v>35</v>
      </c>
      <c r="D15" s="4" t="s">
        <v>36</v>
      </c>
      <c r="E15" s="4" t="s">
        <v>38</v>
      </c>
      <c r="F15" s="4" t="s">
        <v>39</v>
      </c>
      <c r="G15" s="4" t="s">
        <v>40</v>
      </c>
      <c r="H15" s="4" t="s">
        <v>41</v>
      </c>
      <c r="I15" s="4" t="s">
        <v>42</v>
      </c>
      <c r="J15" s="4" t="s">
        <v>43</v>
      </c>
      <c r="K15" s="4" t="s">
        <v>44</v>
      </c>
      <c r="L15" s="29" t="s">
        <v>47</v>
      </c>
      <c r="M15" s="4" t="s">
        <v>45</v>
      </c>
      <c r="N15" s="20" t="s">
        <v>80</v>
      </c>
      <c r="O15" s="20" t="s">
        <v>81</v>
      </c>
      <c r="P15" s="4" t="s">
        <v>82</v>
      </c>
      <c r="Q15" s="4" t="s">
        <v>83</v>
      </c>
      <c r="R15" s="4" t="s">
        <v>82</v>
      </c>
      <c r="S15" s="4" t="s">
        <v>83</v>
      </c>
      <c r="T15" s="21" t="s">
        <v>50</v>
      </c>
    </row>
    <row r="16" customHeight="1" spans="1:22">
      <c r="A16" s="22"/>
      <c r="B16" s="4"/>
      <c r="C16" s="4"/>
      <c r="D16" s="4"/>
      <c r="E16" s="4"/>
      <c r="F16" s="4" t="s">
        <v>51</v>
      </c>
      <c r="G16" s="4" t="s">
        <v>52</v>
      </c>
      <c r="H16" s="4" t="s">
        <v>53</v>
      </c>
      <c r="I16" s="4" t="s">
        <v>54</v>
      </c>
      <c r="J16" s="4" t="s">
        <v>54</v>
      </c>
      <c r="K16" s="4" t="s">
        <v>54</v>
      </c>
      <c r="L16" s="4" t="s">
        <v>54</v>
      </c>
      <c r="M16" s="4" t="s">
        <v>55</v>
      </c>
      <c r="N16" s="20"/>
      <c r="O16" s="20"/>
      <c r="P16" s="4" t="s">
        <v>54</v>
      </c>
      <c r="Q16" s="4" t="s">
        <v>84</v>
      </c>
      <c r="R16" s="4" t="s">
        <v>54</v>
      </c>
      <c r="S16" s="4" t="s">
        <v>84</v>
      </c>
      <c r="T16" s="21" t="s">
        <v>54</v>
      </c>
    </row>
    <row r="17" s="1" customFormat="1" ht="26" customHeight="1" spans="1:22">
      <c r="A17" s="30"/>
      <c r="B17" s="31" t="s">
        <v>70</v>
      </c>
      <c r="C17" s="32">
        <v>5</v>
      </c>
      <c r="D17" s="32" t="s">
        <v>71</v>
      </c>
      <c r="E17" s="32" t="s">
        <v>85</v>
      </c>
      <c r="F17" s="32">
        <v>770.4</v>
      </c>
      <c r="G17" s="4">
        <v>10000</v>
      </c>
      <c r="H17" s="32">
        <v>150</v>
      </c>
      <c r="I17" s="32"/>
      <c r="J17" s="19">
        <v>7</v>
      </c>
      <c r="K17" s="19">
        <v>7.9</v>
      </c>
      <c r="L17" s="19">
        <v>7.5</v>
      </c>
      <c r="M17" s="33">
        <v>44621</v>
      </c>
      <c r="N17" s="32" t="s">
        <v>74</v>
      </c>
      <c r="O17" s="34" t="s">
        <v>86</v>
      </c>
      <c r="P17" s="35">
        <v>7.1</v>
      </c>
      <c r="Q17" s="36" t="s">
        <v>87</v>
      </c>
      <c r="R17" s="36"/>
      <c r="S17" s="36"/>
      <c r="T17" s="37"/>
    </row>
    <row r="18" s="1" customFormat="1" customHeight="1" spans="1:22">
      <c r="A18" s="30"/>
      <c r="B18" s="30"/>
      <c r="C18" s="32">
        <v>6</v>
      </c>
      <c r="D18" s="32" t="s">
        <v>71</v>
      </c>
      <c r="E18" s="32" t="s">
        <v>85</v>
      </c>
      <c r="F18" s="32">
        <v>770.4</v>
      </c>
      <c r="G18" s="4">
        <v>10000</v>
      </c>
      <c r="H18" s="32">
        <v>150</v>
      </c>
      <c r="I18" s="32"/>
      <c r="J18" s="19">
        <v>7</v>
      </c>
      <c r="K18" s="19">
        <v>7.8</v>
      </c>
      <c r="L18" s="19">
        <v>7.5</v>
      </c>
      <c r="M18" s="33">
        <v>44621</v>
      </c>
      <c r="N18" s="4" t="s">
        <v>78</v>
      </c>
      <c r="O18" s="34" t="s">
        <v>86</v>
      </c>
      <c r="P18" s="38"/>
      <c r="Q18" s="36" t="s">
        <v>88</v>
      </c>
      <c r="R18" s="36"/>
      <c r="S18" s="36"/>
      <c r="T18" s="37"/>
    </row>
    <row r="19" customHeight="1" spans="1:22">
      <c r="A19" s="22"/>
      <c r="B19" s="30"/>
      <c r="C19" s="32">
        <v>7</v>
      </c>
      <c r="D19" s="32" t="s">
        <v>71</v>
      </c>
      <c r="E19" s="4" t="s">
        <v>85</v>
      </c>
      <c r="F19" s="4">
        <v>770.4</v>
      </c>
      <c r="G19" s="4">
        <v>10000</v>
      </c>
      <c r="H19" s="4">
        <v>150</v>
      </c>
      <c r="I19" s="4"/>
      <c r="J19" s="4">
        <v>7</v>
      </c>
      <c r="K19" s="4">
        <v>7.8</v>
      </c>
      <c r="L19" s="4">
        <v>7.5</v>
      </c>
      <c r="M19" s="39">
        <v>44621</v>
      </c>
      <c r="N19" s="4" t="s">
        <v>78</v>
      </c>
      <c r="O19" s="34" t="s">
        <v>86</v>
      </c>
      <c r="P19" s="38"/>
      <c r="Q19" s="26" t="s">
        <v>88</v>
      </c>
      <c r="R19" s="26"/>
      <c r="S19" s="26"/>
      <c r="T19" s="16"/>
      <c r="U19" s="2"/>
      <c r="V19" s="2"/>
    </row>
    <row r="20" customHeight="1" spans="1:22">
      <c r="A20" s="22"/>
      <c r="B20" s="40"/>
      <c r="C20" s="32">
        <v>8</v>
      </c>
      <c r="D20" s="32" t="s">
        <v>71</v>
      </c>
      <c r="E20" s="4" t="s">
        <v>85</v>
      </c>
      <c r="F20" s="4">
        <v>770.4</v>
      </c>
      <c r="G20" s="4">
        <v>10000</v>
      </c>
      <c r="H20" s="4">
        <v>150</v>
      </c>
      <c r="I20" s="4"/>
      <c r="J20" s="4">
        <v>7</v>
      </c>
      <c r="K20" s="4">
        <v>7.8</v>
      </c>
      <c r="L20" s="4">
        <v>7.5</v>
      </c>
      <c r="M20" s="39">
        <v>44621</v>
      </c>
      <c r="N20" s="4" t="s">
        <v>87</v>
      </c>
      <c r="O20" s="34" t="s">
        <v>86</v>
      </c>
      <c r="P20" s="41"/>
      <c r="Q20" s="26"/>
      <c r="R20" s="26"/>
      <c r="S20" s="26"/>
      <c r="T20" s="16"/>
      <c r="U20" s="2"/>
      <c r="V20" s="2"/>
    </row>
    <row r="21" customHeight="1" spans="1:22">
      <c r="A21" s="4" t="s">
        <v>89</v>
      </c>
      <c r="B21" s="4" t="s">
        <v>90</v>
      </c>
      <c r="C21" s="4" t="s">
        <v>35</v>
      </c>
      <c r="D21" s="4" t="s">
        <v>36</v>
      </c>
      <c r="E21" s="20" t="s">
        <v>91</v>
      </c>
      <c r="F21" s="4" t="s">
        <v>92</v>
      </c>
      <c r="G21" s="4" t="s">
        <v>93</v>
      </c>
      <c r="H21" s="29" t="s">
        <v>94</v>
      </c>
      <c r="I21" s="29" t="s">
        <v>95</v>
      </c>
      <c r="J21" s="4" t="s">
        <v>96</v>
      </c>
      <c r="K21" s="4"/>
      <c r="L21" s="24" t="s">
        <v>35</v>
      </c>
      <c r="M21" s="24" t="s">
        <v>97</v>
      </c>
      <c r="N21" s="4" t="s">
        <v>98</v>
      </c>
      <c r="O21" s="4" t="s">
        <v>94</v>
      </c>
      <c r="P21" s="4" t="s">
        <v>99</v>
      </c>
      <c r="Q21" s="4" t="s">
        <v>100</v>
      </c>
      <c r="R21" s="4" t="s">
        <v>101</v>
      </c>
      <c r="S21" s="4" t="s">
        <v>102</v>
      </c>
      <c r="T21" s="4"/>
      <c r="U21" s="2"/>
      <c r="V21" s="2"/>
    </row>
    <row r="22" customHeight="1" spans="1:22">
      <c r="A22" s="4"/>
      <c r="B22" s="4"/>
      <c r="C22" s="4"/>
      <c r="D22" s="4"/>
      <c r="E22" s="20"/>
      <c r="F22" s="4" t="s">
        <v>53</v>
      </c>
      <c r="G22" s="4" t="s">
        <v>103</v>
      </c>
      <c r="H22" s="29" t="s">
        <v>54</v>
      </c>
      <c r="I22" s="29" t="s">
        <v>104</v>
      </c>
      <c r="J22" s="4"/>
      <c r="K22" s="4"/>
      <c r="L22" s="13"/>
      <c r="M22" s="13"/>
      <c r="N22" s="4" t="s">
        <v>105</v>
      </c>
      <c r="O22" s="4" t="s">
        <v>54</v>
      </c>
      <c r="P22" s="4"/>
      <c r="Q22" s="4"/>
      <c r="R22" s="4" t="s">
        <v>106</v>
      </c>
      <c r="S22" s="4" t="s">
        <v>107</v>
      </c>
      <c r="T22" s="4" t="s">
        <v>108</v>
      </c>
      <c r="U22" s="2"/>
      <c r="V22" s="2"/>
    </row>
    <row r="23" ht="26" customHeight="1" spans="1:22">
      <c r="A23" s="4"/>
      <c r="B23" s="4"/>
      <c r="C23" s="4"/>
      <c r="D23" s="23"/>
      <c r="E23" s="21"/>
      <c r="F23" s="23"/>
      <c r="G23" s="23"/>
      <c r="H23" s="21"/>
      <c r="I23" s="42"/>
      <c r="J23" s="4"/>
      <c r="K23" s="4"/>
      <c r="L23" s="4"/>
      <c r="M23" s="4"/>
      <c r="N23" s="4"/>
      <c r="O23" s="21"/>
      <c r="P23" s="4"/>
      <c r="Q23" s="21"/>
      <c r="R23" s="23"/>
      <c r="S23" s="4"/>
      <c r="T23" s="4"/>
      <c r="U23" s="2"/>
      <c r="V23" s="2"/>
    </row>
    <row r="24" customHeight="1" spans="1:22">
      <c r="A24" s="4"/>
      <c r="B24" s="4"/>
      <c r="C24" s="4"/>
      <c r="D24" s="23"/>
      <c r="E24" s="21"/>
      <c r="F24" s="23"/>
      <c r="G24" s="23"/>
      <c r="H24" s="21"/>
      <c r="I24" s="4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2"/>
      <c r="V24" s="2"/>
    </row>
    <row r="25" customHeight="1" spans="1:22">
      <c r="A25" s="4"/>
      <c r="B25" s="4"/>
      <c r="C25" s="4"/>
      <c r="D25" s="4"/>
      <c r="E25" s="4"/>
      <c r="F25" s="4"/>
      <c r="G25" s="4"/>
      <c r="H25" s="4"/>
      <c r="I25" s="2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2"/>
      <c r="V25" s="2"/>
    </row>
    <row r="26" customHeight="1" spans="1:22">
      <c r="S26" s="2"/>
      <c r="T26" s="2"/>
      <c r="U26" s="2"/>
      <c r="V26" s="2"/>
    </row>
    <row r="27" customHeight="1" spans="1:22">
      <c r="S27" s="2"/>
      <c r="T27" s="2"/>
      <c r="U27" s="2"/>
      <c r="V27" s="2"/>
    </row>
    <row r="28" customHeight="1" spans="1:22">
      <c r="S28" s="2"/>
      <c r="T28" s="2"/>
      <c r="U28" s="2"/>
      <c r="V28" s="2"/>
    </row>
  </sheetData>
  <mergeCells count="42">
    <mergeCell ref="A2:S2"/>
    <mergeCell ref="B3:E3"/>
    <mergeCell ref="G3:I3"/>
    <mergeCell ref="B4:E4"/>
    <mergeCell ref="G4:I4"/>
    <mergeCell ref="B5:E5"/>
    <mergeCell ref="G5:H5"/>
    <mergeCell ref="P6:S6"/>
    <mergeCell ref="P7:Q7"/>
    <mergeCell ref="R7:S7"/>
    <mergeCell ref="S21:T21"/>
    <mergeCell ref="A6:A7"/>
    <mergeCell ref="A8:A9"/>
    <mergeCell ref="A10:A14"/>
    <mergeCell ref="A15:A20"/>
    <mergeCell ref="A21:A25"/>
    <mergeCell ref="B8:B9"/>
    <mergeCell ref="B11:B14"/>
    <mergeCell ref="B15:B16"/>
    <mergeCell ref="B17:B20"/>
    <mergeCell ref="B21:B22"/>
    <mergeCell ref="C8:C9"/>
    <mergeCell ref="C15:C16"/>
    <mergeCell ref="C21:C22"/>
    <mergeCell ref="D8:D9"/>
    <mergeCell ref="D15:D16"/>
    <mergeCell ref="D21:D22"/>
    <mergeCell ref="E8:E9"/>
    <mergeCell ref="E15:E16"/>
    <mergeCell ref="E21:E22"/>
    <mergeCell ref="F8:F9"/>
    <mergeCell ref="L21:L22"/>
    <mergeCell ref="M21:M22"/>
    <mergeCell ref="N8:N9"/>
    <mergeCell ref="N15:N16"/>
    <mergeCell ref="O15:O16"/>
    <mergeCell ref="P17:P20"/>
    <mergeCell ref="P21:P25"/>
    <mergeCell ref="Q21:Q22"/>
    <mergeCell ref="T6:T7"/>
    <mergeCell ref="J3:T5"/>
    <mergeCell ref="J21:K25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pang'zi</dc:creator>
  <cp:lastModifiedBy>Niceguy</cp:lastModifiedBy>
  <dcterms:created xsi:type="dcterms:W3CDTF">2015-06-05T18:19:00Z</dcterms:created>
  <cp:lastPrinted>2023-10-29T08:31:00Z</cp:lastPrinted>
  <dcterms:modified xsi:type="dcterms:W3CDTF">2026-04-27T10:27:33Z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737F6E4EC41449A6902DCE5233AEA37A_13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