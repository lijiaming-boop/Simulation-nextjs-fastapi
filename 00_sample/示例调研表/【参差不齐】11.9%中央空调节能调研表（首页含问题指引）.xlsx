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3395" tabRatio="702" activeTab="1"/>
  </bookViews>
  <sheets>
    <sheet name="项目总体情况" sheetId="1" r:id="rId1"/>
    <sheet name="冷站" sheetId="9" r:id="rId2"/>
    <sheet name="附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<sst xmlns="http://schemas.openxmlformats.org/spreadsheetml/2006/main" count="315" uniqueCount="160">
  <si>
    <t>项目名称</t>
  </si>
  <si>
    <t>XXXX</t>
  </si>
  <si>
    <t>项目地址</t>
  </si>
  <si>
    <t>填表日期</t>
  </si>
  <si>
    <t>20XX/ XX/ XX</t>
  </si>
  <si>
    <t>填表人/联系方式</t>
  </si>
  <si>
    <t>XXX / 147XXXXXXX1</t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</si>
  <si>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</si>
  <si>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个制冷站，共包括</t>
    </r>
    <r>
      <rPr>
        <b/>
        <sz val="12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台冷水机组，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台冷冻泵，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台冷却塔，全年耗电量约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</si>
  <si>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</si>
  <si>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r>
      <rPr>
        <b/>
        <sz val="11"/>
        <color rgb="FFC00000"/>
        <rFont val="宋体"/>
        <charset val="134"/>
      </rPr>
      <t>例如：</t>
    </r>
    <r>
      <rPr>
        <sz val="11"/>
        <color theme="0" tint="-0.5"/>
        <rFont val="宋体"/>
        <charset val="134"/>
      </rPr>
      <t>描述一下制冷站房的需要特殊注意的地方，比如主机运行规律/末端的温湿度要求等。举例如下：
1、冷冻水主要是用来除湿，客户要求7-9℃（因为这个范围除湿效果好），先除湿再通过蒸汽加热到环境温度27℃。末端有转轮除湿机。
2、3月-11月开2台机，其余时间不开。白天9点开机，晚上9点关机。
3、水泵冷却塔配置了变频器，但未使用，目前人工进行手动调频。</t>
    </r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</si>
  <si>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</si>
  <si>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</si>
  <si>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站房有没有群控柜？柜内是PLC还是DDC？请提供对应控制器的系列型号（拍照）、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</si>
  <si>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</si>
  <si>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4、要到过去一年当中的逐月耗电量数据，用于节能评估分析；注意，一定要拿到的整个制冷站房的耗电量，不要含空调末端的耗电量！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</si>
  <si>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</si>
  <si>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</si>
  <si>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另外，末端的空调形式是风机盘管还是组合式空调箱，还是其他？</t>
  </si>
  <si>
    <t>8、详细内容，请查见下一附表“冷站”！</t>
  </si>
  <si>
    <t>8、冷机的冷冻水1-12月的出水</t>
  </si>
  <si>
    <t>站房名称</t>
  </si>
  <si>
    <t>广西华创空调节能项目</t>
  </si>
  <si>
    <t>填写说明</t>
  </si>
  <si>
    <t>除标注“选填” 的内容外，需完整填写该表格</t>
  </si>
  <si>
    <t>一、基本情况</t>
  </si>
  <si>
    <r>
      <rPr>
        <b/>
        <sz val="12"/>
        <color rgb="FF000000"/>
        <rFont val="微软雅黑"/>
        <charset val="134"/>
      </rPr>
      <t xml:space="preserve">空调用途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</si>
  <si>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空调保障类型
</t>
    </r>
    <r>
      <rPr>
        <sz val="12"/>
        <color rgb="FFC00000"/>
        <rFont val="微软雅黑"/>
        <charset val="134"/>
      </rPr>
      <t>（选框勾选）</t>
    </r>
  </si>
  <si>
    <t>其他情况：</t>
  </si>
  <si>
    <t>其他类型：</t>
  </si>
  <si>
    <t>车间环境要求</t>
  </si>
  <si>
    <r>
      <rPr>
        <sz val="11"/>
        <color theme="2" tint="-0.499984740745262"/>
        <rFont val="宋体"/>
        <charset val="134"/>
      </rPr>
      <t>温度</t>
    </r>
    <r>
      <rPr>
        <b/>
        <sz val="11"/>
        <color rgb="FFC00000"/>
        <rFont val="宋体"/>
        <charset val="134"/>
      </rPr>
      <t>15-25℃</t>
    </r>
    <r>
      <rPr>
        <sz val="11"/>
        <color theme="2" tint="-0.499984740745262"/>
        <rFont val="宋体"/>
        <charset val="134"/>
      </rPr>
      <t>，湿度≤</t>
    </r>
    <r>
      <rPr>
        <b/>
        <sz val="11"/>
        <color rgb="FFC00000"/>
        <rFont val="宋体"/>
        <charset val="134"/>
      </rPr>
      <t>55%、≤65%。</t>
    </r>
  </si>
  <si>
    <r>
      <rPr>
        <b/>
        <sz val="12"/>
        <rFont val="微软雅黑"/>
        <charset val="134"/>
      </rPr>
      <t>工艺冷却水要求</t>
    </r>
    <r>
      <rPr>
        <sz val="11"/>
        <color rgb="FFC00000"/>
        <rFont val="微软雅黑"/>
        <charset val="134"/>
      </rPr>
      <t>（选填）</t>
    </r>
  </si>
  <si>
    <r>
      <rPr>
        <sz val="11"/>
        <color theme="2" tint="-0.499984740745262"/>
        <rFont val="宋体"/>
        <charset val="134"/>
      </rPr>
      <t>供水温度</t>
    </r>
    <r>
      <rPr>
        <b/>
        <sz val="11"/>
        <color rgb="FFC00000"/>
        <rFont val="宋体"/>
        <charset val="134"/>
      </rPr>
      <t>？？</t>
    </r>
    <r>
      <rPr>
        <sz val="11"/>
        <color theme="2" tint="-0.499984740745262"/>
        <rFont val="宋体"/>
        <charset val="134"/>
      </rPr>
      <t>，回水温度</t>
    </r>
    <r>
      <rPr>
        <b/>
        <sz val="11"/>
        <color rgb="FFC00000"/>
        <rFont val="宋体"/>
        <charset val="134"/>
      </rPr>
      <t>？？</t>
    </r>
  </si>
  <si>
    <t>是</t>
  </si>
  <si>
    <t>二、设备清单</t>
  </si>
  <si>
    <t>否</t>
  </si>
  <si>
    <t>冷机</t>
  </si>
  <si>
    <t>类型</t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</si>
  <si>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</si>
  <si>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</si>
  <si>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</si>
  <si>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</si>
  <si>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</si>
  <si>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</si>
  <si>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</si>
  <si>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</si>
  <si>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一厂</t>
  </si>
  <si>
    <t>特灵</t>
  </si>
  <si>
    <t>CVHG1100</t>
  </si>
  <si>
    <r>
      <rPr>
        <sz val="11"/>
        <color theme="2" tint="-0.499984740745262"/>
        <rFont val="Times New Roman"/>
        <charset val="134"/>
      </rPr>
      <t>3868(1100)kW(TONS</t>
    </r>
    <r>
      <rPr>
        <sz val="11"/>
        <color theme="2" tint="-0.499984740745262"/>
        <rFont val="宋体"/>
        <charset val="134"/>
      </rPr>
      <t>）</t>
    </r>
  </si>
  <si>
    <t>工频</t>
  </si>
  <si>
    <t>1#站房</t>
  </si>
  <si>
    <t>CVHF1070</t>
  </si>
  <si>
    <t>3868(1100)kW(TONS)</t>
  </si>
  <si>
    <t>变频</t>
  </si>
  <si>
    <t>2#站房</t>
  </si>
  <si>
    <t>CVHF910</t>
  </si>
  <si>
    <t>3340(950)kW(TONS)</t>
  </si>
  <si>
    <t>【4-6-6-8】*2</t>
  </si>
  <si>
    <t>二厂</t>
  </si>
  <si>
    <t>3#站房</t>
  </si>
  <si>
    <t>工频（置换）</t>
  </si>
  <si>
    <t>4#站房</t>
  </si>
  <si>
    <t>冷却泵</t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</si>
  <si>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</si>
  <si>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t>流量m³/h</t>
  </si>
  <si>
    <t>扬程/m</t>
  </si>
  <si>
    <t>变频/工频</t>
  </si>
  <si>
    <t>西门子电机（中国)有限公司</t>
  </si>
  <si>
    <t>YVE2-280M-4</t>
  </si>
  <si>
    <t>额定扭矩：573N.m</t>
  </si>
  <si>
    <t>冷冻泵</t>
  </si>
  <si>
    <t>冷却塔</t>
  </si>
  <si>
    <t>序号</t>
  </si>
  <si>
    <t>冷却风量m³/h</t>
  </si>
  <si>
    <t>每台冷却塔
风机数量</t>
  </si>
  <si>
    <t>单台风机
功率/kW</t>
  </si>
  <si>
    <t>浙江东杰冷却塔有限公司</t>
  </si>
  <si>
    <t>/</t>
  </si>
  <si>
    <t>电动阀门</t>
  </si>
  <si>
    <t>电动阀位置</t>
  </si>
  <si>
    <t>是否有电动阀</t>
  </si>
  <si>
    <t>电动阀门数量</t>
  </si>
  <si>
    <t>可正常运行的数量</t>
  </si>
  <si>
    <t>详细情况描述</t>
  </si>
  <si>
    <t>冷机冷却侧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</si>
  <si>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</si>
  <si>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</si>
  <si>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</si>
  <si>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</si>
  <si>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</si>
  <si>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r>
      <rPr>
        <b/>
        <sz val="12"/>
        <color rgb="FF000000"/>
        <rFont val="微软雅黑"/>
        <charset val="134"/>
      </rPr>
      <t xml:space="preserve">冷站功能现状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</si>
  <si>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设备启停方式
</t>
    </r>
    <r>
      <rPr>
        <sz val="12"/>
        <color rgb="FFC00000"/>
        <rFont val="微软雅黑"/>
        <charset val="134"/>
      </rPr>
      <t>（选框勾选）</t>
    </r>
  </si>
  <si>
    <t>水泵</t>
  </si>
  <si>
    <r>
      <rPr>
        <b/>
        <sz val="12"/>
        <color rgb="FF000000"/>
        <rFont val="微软雅黑"/>
        <charset val="134"/>
      </rPr>
      <t xml:space="preserve">冷机通讯接口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</si>
  <si>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末端设备数量
</t>
    </r>
    <r>
      <rPr>
        <sz val="12"/>
        <color rgb="FFC00000"/>
        <rFont val="微软雅黑"/>
        <charset val="134"/>
      </rPr>
      <t>（选框勾选）</t>
    </r>
  </si>
  <si>
    <t>台</t>
  </si>
  <si>
    <t>车间温湿度已采集到上位机</t>
  </si>
  <si>
    <t>送回风温湿度已采集到上位机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</si>
  <si>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</si>
  <si>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</si>
  <si>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</si>
  <si>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</si>
  <si>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</si>
  <si>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</si>
  <si>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</si>
  <si>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</si>
  <si>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</si>
  <si>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</si>
  <si>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</si>
  <si>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</si>
  <si>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</si>
  <si>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</si>
  <si>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</si>
  <si>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冷机供水温度/°C</t>
  </si>
  <si>
    <t>6.5/6</t>
  </si>
  <si>
    <t>7/6.5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</si>
  <si>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</si>
  <si>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变频运行可填写频率范围及常开频率值</t>
    </r>
  </si>
  <si>
    <t>35-40HZ</t>
  </si>
  <si>
    <t>40-45HZ</t>
  </si>
  <si>
    <t>45-50HZ</t>
  </si>
  <si>
    <t>冷却侧供回水温差/℃</t>
  </si>
  <si>
    <t>填写大致的范围及常值</t>
  </si>
  <si>
    <t>3-4℃</t>
  </si>
  <si>
    <t>冷冻泵运行频率/Hz</t>
  </si>
  <si>
    <t>冷冻侧供回水温差/℃</t>
  </si>
  <si>
    <t>3℃</t>
  </si>
  <si>
    <t>5℃</t>
  </si>
  <si>
    <t>冷却塔运行频率/Hz</t>
  </si>
  <si>
    <t>0HZ</t>
  </si>
  <si>
    <t>35HZ</t>
  </si>
  <si>
    <t>40HZ</t>
  </si>
  <si>
    <t>50HZ</t>
  </si>
  <si>
    <t>冷却塔出水温度/℃</t>
  </si>
  <si>
    <t>填写大致的范围及常开值</t>
  </si>
  <si>
    <t>18-23℃</t>
  </si>
  <si>
    <t>20-26℃</t>
  </si>
  <si>
    <t>24-32℃</t>
  </si>
  <si>
    <t>26-34℃</t>
  </si>
  <si>
    <t>27-35℃</t>
  </si>
  <si>
    <t>20-27℃</t>
  </si>
  <si>
    <t>五、用电情况统计</t>
  </si>
  <si>
    <t>综合
电单价：</t>
  </si>
  <si>
    <r>
      <rPr>
        <b/>
        <sz val="12"/>
        <color theme="1"/>
        <rFont val="微软雅黑"/>
        <charset val="134"/>
      </rPr>
      <t xml:space="preserve">整个冷站/万kWh
</t>
    </r>
    <r>
      <rPr>
        <b/>
        <sz val="8"/>
        <color rgb="FFC00000"/>
        <rFont val="微软雅黑"/>
        <charset val="134"/>
      </rPr>
      <t>（冷机+冷冻泵+冷却泵+冷却塔）</t>
    </r>
  </si>
  <si>
    <t>0.4元</t>
  </si>
  <si>
    <t>六、照片、图纸、运行数据清单</t>
  </si>
  <si>
    <t>描述</t>
  </si>
  <si>
    <t>要求</t>
  </si>
  <si>
    <t>系统界面照片（上位机组态图 or 触摸屏组态图）</t>
  </si>
  <si>
    <t>须提供</t>
  </si>
  <si>
    <t>若无上位机和集控柜，可不提供</t>
  </si>
  <si>
    <t>各设备铭牌照片</t>
  </si>
  <si>
    <t>冷机、水泵、冷却塔</t>
  </si>
  <si>
    <t>制冷系统流程图</t>
  </si>
  <si>
    <t>用于分析站房各设备的流程关系</t>
  </si>
  <si>
    <t>1、系统界面照片（上位机 or 触摸屏）</t>
  </si>
  <si>
    <t>2、冷水站房整体照片</t>
  </si>
  <si>
    <t>3、是否有管路系统图或者站房的设计施工图等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</si>
</sst>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C00000"/>
      <name val="宋体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C00000"/>
      <name val="宋体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2" tint="-0.499984740745262"/>
      <name val="Times New Roman"/>
      <charset val="134"/>
    </font>
    <font>
      <b/>
      <sz val="11"/>
      <color rgb="FFC0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C00000"/>
      <name val="微软雅黑"/>
      <charset val="134"/>
    </font>
    <font>
      <sz val="11"/>
      <color rgb="FFC00000"/>
      <name val="微软雅黑"/>
      <charset val="134"/>
    </font>
    <font>
      <b/>
      <sz val="11"/>
      <color rgb="FFC00000"/>
      <name val="Times New Roman"/>
      <charset val="134"/>
    </font>
    <font>
      <b/>
      <sz val="12"/>
      <color rgb="FFC00000"/>
      <name val="Times New Roman"/>
      <charset val="134"/>
    </font>
    <font>
      <sz val="11"/>
      <color theme="0" tint="-0.5"/>
      <name val="宋体"/>
      <charset val="134"/>
    </font>
    <font>
      <sz val="11"/>
      <color rgb="FFC00000"/>
      <name val="Times New Roman"/>
      <charset val="134"/>
    </font>
    <font>
      <b/>
      <sz val="8"/>
      <color rgb="FFC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9" borderId="17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10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9" fillId="2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58" fontId="4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0" xfId="0" applyFont="1"/>
    <xf numFmtId="0" fontId="1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58" fontId="15" fillId="0" borderId="4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/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checked="Checked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checked="Checked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checked="Checked" noThreeD="1" val="0"/>
</file>

<file path=xl/ctrlProps/ctrlProp21.xml><?xml version="1.0" encoding="utf-8"?>
<formControlPr xmlns="http://schemas.microsoft.com/office/spreadsheetml/2009/9/main" objectType="CheckBox" checked="Checked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checked="Checked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69850</xdr:rowOff>
        </xdr:from>
        <xdr:to>
          <xdr:col>2</xdr:col>
          <xdr:colOff>1536700</xdr:colOff>
          <xdr:row>3</xdr:row>
          <xdr:rowOff>336550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923415" y="8102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298450</xdr:rowOff>
        </xdr:from>
        <xdr:to>
          <xdr:col>2</xdr:col>
          <xdr:colOff>1536700</xdr:colOff>
          <xdr:row>3</xdr:row>
          <xdr:rowOff>565150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923415" y="10388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533400</xdr:rowOff>
        </xdr:from>
        <xdr:to>
          <xdr:col>2</xdr:col>
          <xdr:colOff>1536700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923415" y="127381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50800</xdr:rowOff>
        </xdr:from>
        <xdr:to>
          <xdr:col>10</xdr:col>
          <xdr:colOff>83185</xdr:colOff>
          <xdr:row>3</xdr:row>
          <xdr:rowOff>317500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9161145" y="791210"/>
              <a:ext cx="171196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298450</xdr:rowOff>
        </xdr:from>
        <xdr:to>
          <xdr:col>10</xdr:col>
          <xdr:colOff>83185</xdr:colOff>
          <xdr:row>3</xdr:row>
          <xdr:rowOff>565150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9161145" y="1038860"/>
              <a:ext cx="171196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426085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9148445" y="1273810"/>
              <a:ext cx="121094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36</xdr:row>
          <xdr:rowOff>138430</xdr:rowOff>
        </xdr:from>
        <xdr:to>
          <xdr:col>3</xdr:col>
          <xdr:colOff>49530</xdr:colOff>
          <xdr:row>36</xdr:row>
          <xdr:rowOff>424180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1990725" y="10897235"/>
              <a:ext cx="1603375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36</xdr:row>
          <xdr:rowOff>403860</xdr:rowOff>
        </xdr:from>
        <xdr:to>
          <xdr:col>3</xdr:col>
          <xdr:colOff>570865</xdr:colOff>
          <xdr:row>37</xdr:row>
          <xdr:rowOff>111760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1990725" y="11162665"/>
              <a:ext cx="212471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37</xdr:row>
          <xdr:rowOff>114300</xdr:rowOff>
        </xdr:from>
        <xdr:to>
          <xdr:col>3</xdr:col>
          <xdr:colOff>435610</xdr:colOff>
          <xdr:row>37</xdr:row>
          <xdr:rowOff>431800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1983105" y="11444605"/>
              <a:ext cx="1997075" cy="317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36</xdr:row>
          <xdr:rowOff>241300</xdr:rowOff>
        </xdr:from>
        <xdr:to>
          <xdr:col>8</xdr:col>
          <xdr:colOff>344170</xdr:colOff>
          <xdr:row>36</xdr:row>
          <xdr:rowOff>508000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7765415" y="11000105"/>
              <a:ext cx="165100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36</xdr:row>
          <xdr:rowOff>0</xdr:rowOff>
        </xdr:from>
        <xdr:to>
          <xdr:col>10</xdr:col>
          <xdr:colOff>344170</xdr:colOff>
          <xdr:row>36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9491345" y="10758805"/>
              <a:ext cx="1642745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36</xdr:row>
          <xdr:rowOff>0</xdr:rowOff>
        </xdr:from>
        <xdr:to>
          <xdr:col>8</xdr:col>
          <xdr:colOff>369570</xdr:colOff>
          <xdr:row>36</xdr:row>
          <xdr:rowOff>279400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7765415" y="10758805"/>
              <a:ext cx="167640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37</xdr:row>
          <xdr:rowOff>241300</xdr:rowOff>
        </xdr:from>
        <xdr:to>
          <xdr:col>8</xdr:col>
          <xdr:colOff>344170</xdr:colOff>
          <xdr:row>37</xdr:row>
          <xdr:rowOff>508000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7765415" y="11571605"/>
              <a:ext cx="165100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37</xdr:row>
          <xdr:rowOff>0</xdr:rowOff>
        </xdr:from>
        <xdr:to>
          <xdr:col>10</xdr:col>
          <xdr:colOff>344170</xdr:colOff>
          <xdr:row>37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9491345" y="11330305"/>
              <a:ext cx="1642745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37</xdr:row>
          <xdr:rowOff>0</xdr:rowOff>
        </xdr:from>
        <xdr:to>
          <xdr:col>8</xdr:col>
          <xdr:colOff>350520</xdr:colOff>
          <xdr:row>37</xdr:row>
          <xdr:rowOff>279400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7765415" y="11330305"/>
              <a:ext cx="165735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38</xdr:row>
          <xdr:rowOff>56515</xdr:rowOff>
        </xdr:from>
        <xdr:to>
          <xdr:col>3</xdr:col>
          <xdr:colOff>563880</xdr:colOff>
          <xdr:row>39</xdr:row>
          <xdr:rowOff>64135</xdr:rowOff>
        </xdr:to>
        <xdr:sp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1960880" y="11920220"/>
              <a:ext cx="2147570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39</xdr:row>
          <xdr:rowOff>41275</xdr:rowOff>
        </xdr:from>
        <xdr:to>
          <xdr:col>3</xdr:col>
          <xdr:colOff>571500</xdr:colOff>
          <xdr:row>40</xdr:row>
          <xdr:rowOff>48895</xdr:rowOff>
        </xdr:to>
        <xdr:sp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1960880" y="12171680"/>
              <a:ext cx="2155190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40</xdr:row>
          <xdr:rowOff>255905</xdr:rowOff>
        </xdr:from>
        <xdr:to>
          <xdr:col>3</xdr:col>
          <xdr:colOff>1678940</xdr:colOff>
          <xdr:row>41</xdr:row>
          <xdr:rowOff>259715</xdr:rowOff>
        </xdr:to>
        <xdr:sp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1960880" y="12653010"/>
              <a:ext cx="3262630" cy="27051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冷机有通讯接口，已安装通讯卡（但是被占用了）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99695</xdr:colOff>
          <xdr:row>40</xdr:row>
          <xdr:rowOff>26035</xdr:rowOff>
        </xdr:from>
        <xdr:to>
          <xdr:col>3</xdr:col>
          <xdr:colOff>891540</xdr:colOff>
          <xdr:row>41</xdr:row>
          <xdr:rowOff>33655</xdr:rowOff>
        </xdr:to>
        <xdr:sp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1953260" y="12423140"/>
              <a:ext cx="2482850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冷机有通讯接口，接口自带有通讯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38</xdr:row>
          <xdr:rowOff>15240</xdr:rowOff>
        </xdr:from>
        <xdr:to>
          <xdr:col>7</xdr:col>
          <xdr:colOff>1146810</xdr:colOff>
          <xdr:row>39</xdr:row>
          <xdr:rowOff>22860</xdr:rowOff>
        </xdr:to>
        <xdr:sp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7011035" y="11878945"/>
              <a:ext cx="1812290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AHU（空气处理机组/风柜）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39</xdr:row>
          <xdr:rowOff>15240</xdr:rowOff>
        </xdr:from>
        <xdr:to>
          <xdr:col>7</xdr:col>
          <xdr:colOff>655320</xdr:colOff>
          <xdr:row>40</xdr:row>
          <xdr:rowOff>30480</xdr:rowOff>
        </xdr:to>
        <xdr:sp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7026275" y="12145645"/>
              <a:ext cx="130556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FCU（风机盘管）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</xdr:colOff>
          <xdr:row>41</xdr:row>
          <xdr:rowOff>12700</xdr:rowOff>
        </xdr:from>
        <xdr:to>
          <xdr:col>7</xdr:col>
          <xdr:colOff>645160</xdr:colOff>
          <xdr:row>42</xdr:row>
          <xdr:rowOff>27940</xdr:rowOff>
        </xdr:to>
        <xdr:sp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7016115" y="12676505"/>
              <a:ext cx="130556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转轮除湿机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</xdr:colOff>
          <xdr:row>40</xdr:row>
          <xdr:rowOff>27940</xdr:rowOff>
        </xdr:from>
        <xdr:to>
          <xdr:col>7</xdr:col>
          <xdr:colOff>660400</xdr:colOff>
          <xdr:row>41</xdr:row>
          <xdr:rowOff>43180</xdr:rowOff>
        </xdr:to>
        <xdr:sp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7031355" y="12425045"/>
              <a:ext cx="130556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FFU+干盘管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213360</xdr:colOff>
          <xdr:row>37</xdr:row>
          <xdr:rowOff>525780</xdr:rowOff>
        </xdr:from>
        <xdr:to>
          <xdr:col>11</xdr:col>
          <xdr:colOff>624840</xdr:colOff>
          <xdr:row>39</xdr:row>
          <xdr:rowOff>7620</xdr:rowOff>
        </xdr:to>
        <xdr:sp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12113260" y="1185608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218440</xdr:colOff>
          <xdr:row>39</xdr:row>
          <xdr:rowOff>12700</xdr:rowOff>
        </xdr:from>
        <xdr:to>
          <xdr:col>11</xdr:col>
          <xdr:colOff>629920</xdr:colOff>
          <xdr:row>40</xdr:row>
          <xdr:rowOff>27940</xdr:rowOff>
        </xdr:to>
        <xdr:sp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12118340" y="1214310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220980</xdr:colOff>
          <xdr:row>40</xdr:row>
          <xdr:rowOff>0</xdr:rowOff>
        </xdr:from>
        <xdr:to>
          <xdr:col>11</xdr:col>
          <xdr:colOff>632460</xdr:colOff>
          <xdr:row>41</xdr:row>
          <xdr:rowOff>15240</xdr:rowOff>
        </xdr:to>
        <xdr:sp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12120880" y="1239710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226695</xdr:colOff>
          <xdr:row>40</xdr:row>
          <xdr:rowOff>251460</xdr:rowOff>
        </xdr:from>
        <xdr:to>
          <xdr:col>11</xdr:col>
          <xdr:colOff>638175</xdr:colOff>
          <xdr:row>42</xdr:row>
          <xdr:rowOff>0</xdr:rowOff>
        </xdr:to>
        <xdr:sp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12126595" y="1264856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P16"/>
  <sheetViews>
    <sheetView showGridLines="0" workbookViewId="0">
      <selection activeCell="B9" sqref="B9:O9"/>
    </sheetView>
  </sheetViews>
  <sheetFormatPr defaultColWidth="9" defaultRowHeight="20.15" customHeight="1"/>
  <cols>
    <col min="2" max="5" width="24.5840707964602" customWidth="1"/>
  </cols>
  <sheetData>
    <row r="2" customHeight="1" spans="2:16">
      <c r="B2" s="88" t="s">
        <v>0</v>
      </c>
      <c r="C2" s="27" t="s">
        <v>1</v>
      </c>
      <c r="D2" s="88" t="s">
        <v>2</v>
      </c>
      <c r="E2" s="89"/>
    </row>
    <row r="3" customHeight="1" spans="2:16">
      <c r="B3" s="88" t="s">
        <v>3</v>
      </c>
      <c r="C3" s="13" t="s">
        <v>4</v>
      </c>
      <c r="D3" s="88" t="s">
        <v>5</v>
      </c>
      <c r="E3" s="13" t="s">
        <v>6</v>
      </c>
    </row>
    <row r="4" ht="80.25" customHeight="1" spans="2:16">
      <c r="B4" s="88" t="s">
        <v>7</v>
      </c>
      <c r="C4" s="15" t="s">
        <v>8</v>
      </c>
      <c r="D4" s="21"/>
      <c r="E4" s="21"/>
    </row>
    <row r="5" ht="99" customHeight="1" spans="2:16">
      <c r="B5" s="88" t="s">
        <v>9</v>
      </c>
      <c r="C5" s="90" t="s">
        <v>10</v>
      </c>
      <c r="D5" s="21"/>
      <c r="E5" s="21"/>
    </row>
    <row r="7" customHeight="1" spans="2:16">
      <c r="B7" s="91" t="s">
        <v>11</v>
      </c>
      <c r="C7" s="91"/>
      <c r="D7" s="91"/>
      <c r="E7" s="91"/>
    </row>
    <row r="8" customHeight="1" spans="2:16">
      <c r="B8" s="92" t="s">
        <v>12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</row>
    <row r="9" ht="40" customHeight="1" spans="2:16">
      <c r="B9" s="93" t="s">
        <v>13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4"/>
    </row>
    <row r="10" customHeight="1" spans="2:16">
      <c r="B10" s="92" t="s">
        <v>14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4"/>
    </row>
    <row r="11" customHeight="1" spans="2:16">
      <c r="B11" s="92" t="s">
        <v>15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4"/>
    </row>
    <row r="12" customHeight="1" spans="2:16">
      <c r="B12" s="92" t="s">
        <v>16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</row>
    <row r="13" customHeight="1" spans="2:16">
      <c r="B13" s="92" t="s">
        <v>17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4"/>
    </row>
    <row r="14" ht="39" customHeight="1" spans="2:16">
      <c r="B14" s="95" t="s">
        <v>18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4"/>
    </row>
    <row r="15" hidden="1" customHeight="1" spans="2:16">
      <c r="B15" s="91" t="s">
        <v>19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</row>
    <row r="16" customHeight="1" spans="2:16">
      <c r="B16" t="s">
        <v>20</v>
      </c>
    </row>
  </sheetData>
  <mergeCells count="11">
    <mergeCell ref="C4:E4"/>
    <mergeCell ref="C5:E5"/>
    <mergeCell ref="B7:E7"/>
    <mergeCell ref="B8:P8"/>
    <mergeCell ref="B9:O9"/>
    <mergeCell ref="B10:O10"/>
    <mergeCell ref="B11:O11"/>
    <mergeCell ref="B12:P12"/>
    <mergeCell ref="B13:O13"/>
    <mergeCell ref="B14:O14"/>
    <mergeCell ref="B15:O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60"/>
  <sheetViews>
    <sheetView showGridLines="0" tabSelected="1" zoomScale="85" zoomScaleNormal="85" topLeftCell="A8" workbookViewId="0">
      <selection activeCell="O51" sqref="O51"/>
    </sheetView>
  </sheetViews>
  <sheetFormatPr defaultColWidth="9" defaultRowHeight="20.15" customHeight="1"/>
  <cols>
    <col min="1" max="1" width="1.75221238938053" customWidth="1"/>
    <col min="2" max="2" width="24.0796460176991" customWidth="1"/>
    <col min="3" max="3" width="23.5663716814159" customWidth="1"/>
    <col min="4" max="4" width="26.3097345132743" customWidth="1"/>
    <col min="5" max="5" width="10.5044247787611" customWidth="1"/>
    <col min="6" max="6" width="10.4336283185841" customWidth="1"/>
    <col min="7" max="7" width="10.3362831858407" customWidth="1"/>
    <col min="8" max="8" width="19.4513274336283" customWidth="1"/>
    <col min="9" max="9" width="12" customWidth="1"/>
    <col min="10" max="10" width="11.9380530973451" customWidth="1"/>
    <col min="11" max="11" width="15.4690265486726" customWidth="1"/>
    <col min="12" max="12" width="16.8495575221239" customWidth="1"/>
    <col min="13" max="14" width="10.0796460176991" customWidth="1"/>
    <col min="15" max="15" width="9.88495575221239" customWidth="1"/>
    <col min="16" max="16" width="11.4336283185841" customWidth="1"/>
    <col min="17" max="17" width="14.8318584070796" hidden="1" customWidth="1"/>
    <col min="18" max="18" width="15.5044247787611" hidden="1" customWidth="1"/>
    <col min="19" max="19" width="18.5840707964602" customWidth="1"/>
    <col min="20" max="20" width="9" hidden="1" customWidth="1"/>
    <col min="21" max="21" width="39.5840707964602" customWidth="1"/>
  </cols>
  <sheetData>
    <row r="2" customHeight="1" spans="2:20">
      <c r="B2" s="5" t="s">
        <v>21</v>
      </c>
      <c r="C2" s="5"/>
      <c r="D2" s="6" t="s">
        <v>22</v>
      </c>
      <c r="E2" s="7"/>
      <c r="F2" s="8"/>
      <c r="G2" s="5" t="s">
        <v>23</v>
      </c>
      <c r="H2" s="9" t="s">
        <v>24</v>
      </c>
      <c r="I2" s="10"/>
      <c r="J2" s="10"/>
      <c r="K2" s="10"/>
      <c r="L2" s="11"/>
    </row>
    <row r="3" ht="18" customHeight="1" spans="2:20">
      <c r="B3" s="12" t="s">
        <v>25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66.75" customHeight="1" spans="2:20">
      <c r="B4" s="5" t="s">
        <v>26</v>
      </c>
      <c r="C4" s="13"/>
      <c r="D4" s="13"/>
      <c r="E4" s="13"/>
      <c r="F4" s="13"/>
      <c r="G4" s="5" t="s">
        <v>27</v>
      </c>
      <c r="H4" s="5"/>
      <c r="I4" s="14"/>
      <c r="J4" s="14"/>
      <c r="K4" s="14"/>
      <c r="L4" s="14"/>
    </row>
    <row r="5" ht="22.5" customHeight="1" spans="2:20">
      <c r="B5" s="5"/>
      <c r="C5" s="15" t="s">
        <v>28</v>
      </c>
      <c r="D5" s="16"/>
      <c r="E5" s="16"/>
      <c r="F5" s="16"/>
      <c r="G5" s="5"/>
      <c r="H5" s="5"/>
      <c r="I5" s="15" t="s">
        <v>29</v>
      </c>
      <c r="J5" s="16"/>
      <c r="K5" s="16"/>
      <c r="L5" s="16"/>
    </row>
    <row r="6" ht="26.25" customHeight="1" spans="2:20">
      <c r="B6" s="17" t="s">
        <v>30</v>
      </c>
      <c r="C6" s="15" t="s">
        <v>31</v>
      </c>
      <c r="D6" s="18"/>
      <c r="E6" s="18"/>
      <c r="F6" s="18"/>
      <c r="G6" s="17" t="s">
        <v>32</v>
      </c>
      <c r="H6" s="19"/>
      <c r="I6" s="20" t="s">
        <v>33</v>
      </c>
      <c r="J6" s="21"/>
      <c r="K6" s="21"/>
      <c r="L6" s="21"/>
      <c r="T6" t="s">
        <v>34</v>
      </c>
    </row>
    <row r="7" customHeight="1" spans="2:20">
      <c r="B7" s="12" t="s">
        <v>35</v>
      </c>
      <c r="C7" s="12"/>
      <c r="D7" s="12"/>
      <c r="E7" s="12"/>
      <c r="F7" s="12"/>
      <c r="G7" s="12"/>
      <c r="H7" s="12"/>
      <c r="I7" s="12"/>
      <c r="J7" s="12"/>
      <c r="K7" s="12"/>
      <c r="L7" s="12"/>
      <c r="T7" t="s">
        <v>36</v>
      </c>
    </row>
    <row r="8" customHeight="1" spans="2:20">
      <c r="B8" s="22" t="s">
        <v>37</v>
      </c>
      <c r="C8" s="23" t="s">
        <v>38</v>
      </c>
      <c r="D8" s="23" t="s">
        <v>39</v>
      </c>
      <c r="E8" s="23" t="s">
        <v>40</v>
      </c>
      <c r="F8" s="23"/>
      <c r="G8" s="23" t="s">
        <v>41</v>
      </c>
      <c r="H8" s="23" t="s">
        <v>42</v>
      </c>
      <c r="I8" s="23" t="s">
        <v>43</v>
      </c>
      <c r="J8" s="23" t="s">
        <v>44</v>
      </c>
      <c r="K8" s="23" t="s">
        <v>45</v>
      </c>
      <c r="L8" s="23" t="s">
        <v>46</v>
      </c>
      <c r="M8" s="24"/>
    </row>
    <row r="9" customHeight="1" spans="2:20">
      <c r="B9" s="25"/>
      <c r="C9" s="26" t="s">
        <v>47</v>
      </c>
      <c r="D9" s="27" t="s">
        <v>48</v>
      </c>
      <c r="E9" s="13" t="s">
        <v>49</v>
      </c>
      <c r="F9" s="13"/>
      <c r="G9" s="13">
        <v>1</v>
      </c>
      <c r="H9" s="13" t="s">
        <v>50</v>
      </c>
      <c r="I9" s="13">
        <v>612</v>
      </c>
      <c r="J9" s="13">
        <v>6.35</v>
      </c>
      <c r="K9" s="28">
        <v>44498</v>
      </c>
      <c r="L9" s="27" t="s">
        <v>51</v>
      </c>
      <c r="M9" s="29" t="s">
        <v>52</v>
      </c>
    </row>
    <row r="10" customHeight="1" spans="2:20">
      <c r="B10" s="25"/>
      <c r="C10" s="30"/>
      <c r="D10" s="27" t="s">
        <v>48</v>
      </c>
      <c r="E10" s="13" t="s">
        <v>49</v>
      </c>
      <c r="F10" s="13"/>
      <c r="G10" s="13">
        <v>1</v>
      </c>
      <c r="H10" s="13" t="s">
        <v>50</v>
      </c>
      <c r="I10" s="13">
        <v>612</v>
      </c>
      <c r="J10" s="13">
        <v>6.35</v>
      </c>
      <c r="K10" s="28">
        <v>44498</v>
      </c>
      <c r="L10" s="27" t="s">
        <v>51</v>
      </c>
      <c r="M10" s="29"/>
    </row>
    <row r="11" customHeight="1" spans="2:20">
      <c r="B11" s="25"/>
      <c r="C11" s="30"/>
      <c r="D11" s="27" t="s">
        <v>48</v>
      </c>
      <c r="E11" s="13" t="s">
        <v>53</v>
      </c>
      <c r="F11" s="13"/>
      <c r="G11" s="13">
        <v>1</v>
      </c>
      <c r="H11" s="13" t="s">
        <v>54</v>
      </c>
      <c r="I11" s="13">
        <v>634</v>
      </c>
      <c r="J11" s="13">
        <v>6.1</v>
      </c>
      <c r="K11" s="28">
        <v>44804</v>
      </c>
      <c r="L11" s="27" t="s">
        <v>55</v>
      </c>
      <c r="M11" s="29" t="s">
        <v>56</v>
      </c>
    </row>
    <row r="12" customHeight="1" spans="2:20">
      <c r="B12" s="25"/>
      <c r="C12" s="31"/>
      <c r="D12" s="27" t="s">
        <v>48</v>
      </c>
      <c r="E12" s="13" t="s">
        <v>57</v>
      </c>
      <c r="F12" s="13"/>
      <c r="G12" s="13">
        <v>1</v>
      </c>
      <c r="H12" s="13" t="s">
        <v>58</v>
      </c>
      <c r="I12" s="13">
        <v>561</v>
      </c>
      <c r="J12" s="13">
        <v>5.96</v>
      </c>
      <c r="K12" s="32">
        <v>44501</v>
      </c>
      <c r="L12" s="27" t="s">
        <v>55</v>
      </c>
      <c r="M12" s="29"/>
      <c r="S12" s="33" t="s">
        <v>59</v>
      </c>
    </row>
    <row r="13" customHeight="1" spans="2:20">
      <c r="B13" s="25"/>
      <c r="C13" s="26" t="s">
        <v>60</v>
      </c>
      <c r="D13" s="27" t="s">
        <v>48</v>
      </c>
      <c r="E13" s="13" t="s">
        <v>49</v>
      </c>
      <c r="F13" s="13"/>
      <c r="G13" s="13">
        <v>1</v>
      </c>
      <c r="H13" s="13" t="s">
        <v>50</v>
      </c>
      <c r="I13" s="13">
        <v>612</v>
      </c>
      <c r="J13" s="13">
        <v>6.35</v>
      </c>
      <c r="K13" s="28">
        <v>44498</v>
      </c>
      <c r="L13" s="27" t="s">
        <v>51</v>
      </c>
      <c r="M13" s="34" t="s">
        <v>61</v>
      </c>
    </row>
    <row r="14" customHeight="1" spans="2:20">
      <c r="B14" s="25"/>
      <c r="C14" s="30"/>
      <c r="D14" s="27" t="s">
        <v>48</v>
      </c>
      <c r="E14" s="13" t="s">
        <v>49</v>
      </c>
      <c r="F14" s="13"/>
      <c r="G14" s="13">
        <v>1</v>
      </c>
      <c r="H14" s="13" t="s">
        <v>50</v>
      </c>
      <c r="I14" s="13">
        <v>653</v>
      </c>
      <c r="J14" s="13">
        <v>6.26</v>
      </c>
      <c r="K14" s="28">
        <v>43042</v>
      </c>
      <c r="L14" s="27" t="s">
        <v>62</v>
      </c>
      <c r="M14" s="34"/>
    </row>
    <row r="15" customHeight="1" spans="2:20">
      <c r="B15" s="25"/>
      <c r="C15" s="30"/>
      <c r="D15" s="27" t="s">
        <v>48</v>
      </c>
      <c r="E15" s="13" t="s">
        <v>53</v>
      </c>
      <c r="F15" s="13"/>
      <c r="G15" s="13">
        <v>1</v>
      </c>
      <c r="H15" s="13" t="s">
        <v>54</v>
      </c>
      <c r="I15" s="13">
        <v>634</v>
      </c>
      <c r="J15" s="13">
        <v>6.1</v>
      </c>
      <c r="K15" s="28">
        <v>44804</v>
      </c>
      <c r="L15" s="27" t="s">
        <v>55</v>
      </c>
      <c r="M15" s="34" t="s">
        <v>63</v>
      </c>
      <c r="Q15" s="27" t="s">
        <v>51</v>
      </c>
    </row>
    <row r="16" customFormat="1" customHeight="1" spans="2:20">
      <c r="B16" s="35"/>
      <c r="C16" s="31"/>
      <c r="D16" s="27" t="s">
        <v>48</v>
      </c>
      <c r="E16" s="13" t="s">
        <v>57</v>
      </c>
      <c r="F16" s="13"/>
      <c r="G16" s="13">
        <v>1</v>
      </c>
      <c r="H16" s="13" t="s">
        <v>58</v>
      </c>
      <c r="I16" s="13">
        <v>561</v>
      </c>
      <c r="J16" s="13">
        <v>5.96</v>
      </c>
      <c r="K16" s="32">
        <v>44501</v>
      </c>
      <c r="L16" s="27" t="s">
        <v>55</v>
      </c>
      <c r="M16" s="34"/>
      <c r="Q16" s="36"/>
    </row>
    <row r="17" customFormat="1" customHeight="1" spans="2:13">
      <c r="B17" s="37" t="s">
        <v>64</v>
      </c>
      <c r="C17" s="23" t="s">
        <v>38</v>
      </c>
      <c r="D17" s="23" t="s">
        <v>39</v>
      </c>
      <c r="E17" s="23" t="s">
        <v>65</v>
      </c>
      <c r="F17" s="23"/>
      <c r="G17" s="23" t="s">
        <v>41</v>
      </c>
      <c r="H17" s="23" t="s">
        <v>66</v>
      </c>
      <c r="I17" s="23" t="s">
        <v>43</v>
      </c>
      <c r="J17" s="23" t="s">
        <v>67</v>
      </c>
      <c r="K17" s="23" t="s">
        <v>68</v>
      </c>
      <c r="L17" s="23" t="s">
        <v>46</v>
      </c>
      <c r="M17" s="24"/>
    </row>
    <row r="18" customFormat="1" customHeight="1" spans="2:13">
      <c r="B18" s="38"/>
      <c r="C18" s="26" t="s">
        <v>47</v>
      </c>
      <c r="D18" s="27" t="s">
        <v>69</v>
      </c>
      <c r="E18" s="13" t="s">
        <v>70</v>
      </c>
      <c r="F18" s="13"/>
      <c r="G18" s="13">
        <v>3</v>
      </c>
      <c r="H18" s="13">
        <v>800</v>
      </c>
      <c r="I18" s="13">
        <v>90</v>
      </c>
      <c r="J18" s="13">
        <v>28</v>
      </c>
      <c r="K18" s="39" t="s">
        <v>55</v>
      </c>
      <c r="L18" s="27" t="s">
        <v>71</v>
      </c>
      <c r="M18" s="29" t="s">
        <v>52</v>
      </c>
    </row>
    <row r="19" customFormat="1" customHeight="1" spans="2:13">
      <c r="B19" s="38"/>
      <c r="C19" s="31"/>
      <c r="D19" s="27" t="s">
        <v>69</v>
      </c>
      <c r="E19" s="13" t="s">
        <v>70</v>
      </c>
      <c r="F19" s="13"/>
      <c r="G19" s="13">
        <v>3</v>
      </c>
      <c r="H19" s="13">
        <v>800</v>
      </c>
      <c r="I19" s="13">
        <v>90</v>
      </c>
      <c r="J19" s="13">
        <v>28</v>
      </c>
      <c r="K19" s="39" t="s">
        <v>55</v>
      </c>
      <c r="L19" s="27" t="s">
        <v>71</v>
      </c>
      <c r="M19" s="29" t="s">
        <v>56</v>
      </c>
    </row>
    <row r="20" customFormat="1" customHeight="1" spans="2:13">
      <c r="B20" s="38"/>
      <c r="C20" s="26" t="s">
        <v>60</v>
      </c>
      <c r="D20" s="27" t="s">
        <v>69</v>
      </c>
      <c r="E20" s="13" t="s">
        <v>70</v>
      </c>
      <c r="F20" s="13"/>
      <c r="G20" s="13">
        <v>3</v>
      </c>
      <c r="H20" s="13">
        <v>800</v>
      </c>
      <c r="I20" s="13">
        <v>90</v>
      </c>
      <c r="J20" s="13">
        <v>28</v>
      </c>
      <c r="K20" s="39" t="s">
        <v>55</v>
      </c>
      <c r="L20" s="27" t="s">
        <v>71</v>
      </c>
      <c r="M20" s="34" t="s">
        <v>61</v>
      </c>
    </row>
    <row r="21" customFormat="1" customHeight="1" spans="2:13">
      <c r="B21" s="38"/>
      <c r="C21" s="31"/>
      <c r="D21" s="27" t="s">
        <v>69</v>
      </c>
      <c r="E21" s="13" t="s">
        <v>70</v>
      </c>
      <c r="F21" s="13"/>
      <c r="G21" s="13">
        <v>3</v>
      </c>
      <c r="H21" s="13">
        <v>800</v>
      </c>
      <c r="I21" s="13">
        <v>90</v>
      </c>
      <c r="J21" s="13">
        <v>28</v>
      </c>
      <c r="K21" s="39" t="s">
        <v>55</v>
      </c>
      <c r="L21" s="27" t="s">
        <v>71</v>
      </c>
      <c r="M21" s="34" t="s">
        <v>63</v>
      </c>
    </row>
    <row r="22" customFormat="1" customHeight="1" spans="2:13">
      <c r="B22" s="22" t="s">
        <v>72</v>
      </c>
      <c r="C22" s="23" t="s">
        <v>38</v>
      </c>
      <c r="D22" s="23" t="s">
        <v>39</v>
      </c>
      <c r="E22" s="23" t="s">
        <v>65</v>
      </c>
      <c r="F22" s="23"/>
      <c r="G22" s="23" t="s">
        <v>41</v>
      </c>
      <c r="H22" s="23" t="s">
        <v>66</v>
      </c>
      <c r="I22" s="23" t="s">
        <v>43</v>
      </c>
      <c r="J22" s="23" t="s">
        <v>67</v>
      </c>
      <c r="K22" s="23" t="s">
        <v>68</v>
      </c>
      <c r="L22" s="23" t="s">
        <v>46</v>
      </c>
      <c r="M22" s="24"/>
    </row>
    <row r="23" customFormat="1" customHeight="1" spans="2:13">
      <c r="B23" s="25"/>
      <c r="C23" s="26" t="s">
        <v>47</v>
      </c>
      <c r="D23" s="27" t="s">
        <v>69</v>
      </c>
      <c r="E23" s="13" t="s">
        <v>70</v>
      </c>
      <c r="F23" s="13"/>
      <c r="G23" s="13">
        <v>3</v>
      </c>
      <c r="H23" s="13">
        <v>800</v>
      </c>
      <c r="I23" s="13">
        <v>90</v>
      </c>
      <c r="J23" s="13">
        <v>28</v>
      </c>
      <c r="K23" s="39" t="s">
        <v>55</v>
      </c>
      <c r="L23" s="27" t="s">
        <v>71</v>
      </c>
      <c r="M23" s="29" t="s">
        <v>52</v>
      </c>
    </row>
    <row r="24" customFormat="1" customHeight="1" spans="2:13">
      <c r="B24" s="25"/>
      <c r="C24" s="31"/>
      <c r="D24" s="27" t="s">
        <v>69</v>
      </c>
      <c r="E24" s="13" t="s">
        <v>70</v>
      </c>
      <c r="F24" s="13"/>
      <c r="G24" s="13">
        <v>3</v>
      </c>
      <c r="H24" s="13">
        <v>800</v>
      </c>
      <c r="I24" s="13">
        <v>90</v>
      </c>
      <c r="J24" s="13">
        <v>28</v>
      </c>
      <c r="K24" s="39" t="s">
        <v>55</v>
      </c>
      <c r="L24" s="27" t="s">
        <v>71</v>
      </c>
      <c r="M24" s="29" t="s">
        <v>56</v>
      </c>
    </row>
    <row r="25" customFormat="1" customHeight="1" spans="2:13">
      <c r="B25" s="25"/>
      <c r="C25" s="26" t="s">
        <v>60</v>
      </c>
      <c r="D25" s="27" t="s">
        <v>69</v>
      </c>
      <c r="E25" s="13" t="s">
        <v>70</v>
      </c>
      <c r="F25" s="13"/>
      <c r="G25" s="13">
        <v>3</v>
      </c>
      <c r="H25" s="13">
        <v>800</v>
      </c>
      <c r="I25" s="13">
        <v>90</v>
      </c>
      <c r="J25" s="13">
        <v>28</v>
      </c>
      <c r="K25" s="39" t="s">
        <v>55</v>
      </c>
      <c r="L25" s="27" t="s">
        <v>71</v>
      </c>
      <c r="M25" s="34" t="s">
        <v>61</v>
      </c>
    </row>
    <row r="26" customFormat="1" customHeight="1" spans="2:13">
      <c r="B26" s="35"/>
      <c r="C26" s="31"/>
      <c r="D26" s="27" t="s">
        <v>69</v>
      </c>
      <c r="E26" s="13" t="s">
        <v>70</v>
      </c>
      <c r="F26" s="13"/>
      <c r="G26" s="13">
        <v>3</v>
      </c>
      <c r="H26" s="13">
        <v>800</v>
      </c>
      <c r="I26" s="13">
        <v>90</v>
      </c>
      <c r="J26" s="13">
        <v>28</v>
      </c>
      <c r="K26" s="39" t="s">
        <v>55</v>
      </c>
      <c r="L26" s="27" t="s">
        <v>71</v>
      </c>
      <c r="M26" s="34" t="s">
        <v>63</v>
      </c>
    </row>
    <row r="27" customFormat="1" ht="38.25" customHeight="1" spans="2:13">
      <c r="B27" s="37" t="s">
        <v>73</v>
      </c>
      <c r="C27" s="23" t="s">
        <v>74</v>
      </c>
      <c r="D27" s="23" t="s">
        <v>39</v>
      </c>
      <c r="E27" s="23" t="s">
        <v>65</v>
      </c>
      <c r="F27" s="23"/>
      <c r="G27" s="23" t="s">
        <v>41</v>
      </c>
      <c r="H27" s="23" t="s">
        <v>75</v>
      </c>
      <c r="I27" s="23" t="s">
        <v>76</v>
      </c>
      <c r="J27" s="23" t="s">
        <v>77</v>
      </c>
      <c r="K27" s="23" t="s">
        <v>68</v>
      </c>
      <c r="L27" s="23" t="s">
        <v>46</v>
      </c>
      <c r="M27" s="24"/>
    </row>
    <row r="28" customFormat="1" customHeight="1" spans="2:13">
      <c r="B28" s="38"/>
      <c r="C28" s="26" t="s">
        <v>47</v>
      </c>
      <c r="D28" s="27" t="s">
        <v>78</v>
      </c>
      <c r="E28" s="13" t="s">
        <v>79</v>
      </c>
      <c r="F28" s="13"/>
      <c r="G28" s="13">
        <v>1</v>
      </c>
      <c r="H28" s="13"/>
      <c r="I28" s="13">
        <v>4</v>
      </c>
      <c r="J28" s="13">
        <v>15</v>
      </c>
      <c r="K28" s="39" t="s">
        <v>55</v>
      </c>
      <c r="L28" s="27"/>
      <c r="M28" s="29" t="s">
        <v>52</v>
      </c>
    </row>
    <row r="29" customFormat="1" customHeight="1" spans="2:13">
      <c r="B29" s="38"/>
      <c r="C29" s="31"/>
      <c r="D29" s="27" t="s">
        <v>78</v>
      </c>
      <c r="E29" s="13" t="s">
        <v>79</v>
      </c>
      <c r="F29" s="13"/>
      <c r="G29" s="13">
        <v>1</v>
      </c>
      <c r="H29" s="13"/>
      <c r="I29" s="13">
        <v>4</v>
      </c>
      <c r="J29" s="13">
        <v>15</v>
      </c>
      <c r="K29" s="39" t="s">
        <v>55</v>
      </c>
      <c r="L29" s="27"/>
      <c r="M29" s="29" t="s">
        <v>56</v>
      </c>
    </row>
    <row r="30" customFormat="1" customHeight="1" spans="2:13">
      <c r="B30" s="38"/>
      <c r="C30" s="26" t="s">
        <v>60</v>
      </c>
      <c r="D30" s="27" t="s">
        <v>78</v>
      </c>
      <c r="E30" s="13" t="s">
        <v>79</v>
      </c>
      <c r="F30" s="13"/>
      <c r="G30" s="13">
        <v>1</v>
      </c>
      <c r="H30" s="13"/>
      <c r="I30" s="13">
        <v>4</v>
      </c>
      <c r="J30" s="13">
        <v>15</v>
      </c>
      <c r="K30" s="39" t="s">
        <v>55</v>
      </c>
      <c r="L30" s="27"/>
      <c r="M30" s="34" t="s">
        <v>61</v>
      </c>
    </row>
    <row r="31" customFormat="1" customHeight="1" spans="2:13">
      <c r="B31" s="38"/>
      <c r="C31" s="31"/>
      <c r="D31" s="27" t="s">
        <v>78</v>
      </c>
      <c r="E31" s="13" t="s">
        <v>79</v>
      </c>
      <c r="F31" s="13"/>
      <c r="G31" s="13">
        <v>1</v>
      </c>
      <c r="H31" s="13"/>
      <c r="I31" s="13">
        <v>4</v>
      </c>
      <c r="J31" s="13">
        <v>15</v>
      </c>
      <c r="K31" s="39" t="s">
        <v>55</v>
      </c>
      <c r="L31" s="27"/>
      <c r="M31" s="34" t="s">
        <v>63</v>
      </c>
    </row>
    <row r="32" ht="19.5" customHeight="1" spans="2:13">
      <c r="B32" s="37" t="s">
        <v>80</v>
      </c>
      <c r="C32" s="23" t="s">
        <v>81</v>
      </c>
      <c r="D32" s="23" t="s">
        <v>82</v>
      </c>
      <c r="E32" s="23" t="s">
        <v>83</v>
      </c>
      <c r="F32" s="23"/>
      <c r="G32" s="40" t="s">
        <v>84</v>
      </c>
      <c r="H32" s="41"/>
      <c r="I32" s="40" t="s">
        <v>85</v>
      </c>
      <c r="J32" s="42"/>
      <c r="K32" s="42"/>
      <c r="L32" s="41"/>
    </row>
    <row r="33" ht="37.5" customHeight="1" spans="2:19">
      <c r="B33" s="38"/>
      <c r="C33" s="27" t="s">
        <v>86</v>
      </c>
      <c r="D33" s="27" t="s">
        <v>36</v>
      </c>
      <c r="E33" s="13" t="s">
        <v>79</v>
      </c>
      <c r="F33" s="13"/>
      <c r="G33" s="43" t="s">
        <v>79</v>
      </c>
      <c r="H33" s="44"/>
      <c r="I33" s="45" t="s">
        <v>87</v>
      </c>
      <c r="J33" s="46"/>
      <c r="K33" s="46"/>
      <c r="L33" s="47"/>
      <c r="S33" s="48"/>
    </row>
    <row r="34" ht="33.75" customHeight="1" spans="2:19">
      <c r="B34" s="38"/>
      <c r="C34" s="27" t="s">
        <v>88</v>
      </c>
      <c r="D34" s="27" t="s">
        <v>34</v>
      </c>
      <c r="E34" s="13">
        <v>1</v>
      </c>
      <c r="F34" s="13"/>
      <c r="G34" s="43">
        <v>1</v>
      </c>
      <c r="H34" s="44"/>
      <c r="I34" s="45" t="s">
        <v>89</v>
      </c>
      <c r="J34" s="46"/>
      <c r="K34" s="46"/>
      <c r="L34" s="47"/>
      <c r="S34" s="48"/>
    </row>
    <row r="35" ht="33" customHeight="1" spans="2:19">
      <c r="B35" s="38"/>
      <c r="C35" s="27" t="s">
        <v>73</v>
      </c>
      <c r="D35" s="27" t="s">
        <v>36</v>
      </c>
      <c r="E35" s="13" t="s">
        <v>79</v>
      </c>
      <c r="F35" s="13"/>
      <c r="G35" s="49" t="s">
        <v>79</v>
      </c>
      <c r="H35" s="44"/>
      <c r="I35" s="50" t="s">
        <v>90</v>
      </c>
      <c r="J35" s="46"/>
      <c r="K35" s="46"/>
      <c r="L35" s="47"/>
      <c r="M35" s="51"/>
      <c r="N35" s="51"/>
      <c r="O35" s="51"/>
    </row>
    <row r="36" ht="27.75" customHeight="1" spans="2:19">
      <c r="B36" s="12" t="s">
        <v>91</v>
      </c>
      <c r="C36" s="12"/>
      <c r="D36" s="12"/>
      <c r="E36" s="52"/>
      <c r="F36" s="52"/>
      <c r="G36" s="52"/>
      <c r="H36" s="52"/>
      <c r="I36" s="52"/>
      <c r="J36" s="52"/>
      <c r="K36" s="52"/>
      <c r="L36" s="52"/>
    </row>
    <row r="37" ht="45" customHeight="1" spans="2:19">
      <c r="B37" s="53" t="s">
        <v>92</v>
      </c>
      <c r="C37" s="54"/>
      <c r="D37" s="55"/>
      <c r="E37" s="5" t="s">
        <v>93</v>
      </c>
      <c r="F37" s="5"/>
      <c r="G37" s="56" t="s">
        <v>37</v>
      </c>
      <c r="H37" s="13"/>
      <c r="I37" s="13"/>
      <c r="J37" s="13"/>
      <c r="K37" s="13"/>
      <c r="L37" s="13"/>
    </row>
    <row r="38" ht="42" customHeight="1" spans="2:19">
      <c r="B38" s="57"/>
      <c r="C38" s="58"/>
      <c r="D38" s="59"/>
      <c r="E38" s="5"/>
      <c r="F38" s="5"/>
      <c r="G38" s="56" t="s">
        <v>94</v>
      </c>
      <c r="H38" s="13"/>
      <c r="I38" s="13"/>
      <c r="J38" s="13"/>
      <c r="K38" s="13"/>
      <c r="L38" s="13"/>
    </row>
    <row r="39" ht="21" customHeight="1" spans="2:19">
      <c r="B39" s="53" t="s">
        <v>95</v>
      </c>
      <c r="C39" s="60"/>
      <c r="D39" s="61"/>
      <c r="E39" s="5" t="s">
        <v>96</v>
      </c>
      <c r="F39" s="5"/>
      <c r="G39" s="14"/>
      <c r="H39" s="14"/>
      <c r="I39" s="13"/>
      <c r="J39" s="23" t="s">
        <v>97</v>
      </c>
      <c r="K39" s="62" t="s">
        <v>98</v>
      </c>
      <c r="L39" s="24"/>
    </row>
    <row r="40" ht="21" customHeight="1" spans="2:19">
      <c r="B40" s="63"/>
      <c r="C40" s="64"/>
      <c r="D40" s="36"/>
      <c r="E40" s="5"/>
      <c r="F40" s="5"/>
      <c r="G40" s="14"/>
      <c r="H40" s="14"/>
      <c r="I40" s="13"/>
      <c r="J40" s="23" t="s">
        <v>97</v>
      </c>
      <c r="K40" s="65"/>
      <c r="L40" s="24"/>
    </row>
    <row r="41" ht="21" customHeight="1" spans="2:19">
      <c r="B41" s="63"/>
      <c r="C41" s="64"/>
      <c r="D41" s="36"/>
      <c r="E41" s="5"/>
      <c r="F41" s="5"/>
      <c r="G41" s="14"/>
      <c r="H41" s="14"/>
      <c r="I41" s="13"/>
      <c r="J41" s="23" t="s">
        <v>97</v>
      </c>
      <c r="K41" s="62" t="s">
        <v>99</v>
      </c>
      <c r="L41" s="24"/>
    </row>
    <row r="42" ht="21" customHeight="1" spans="2:19">
      <c r="B42" s="57"/>
      <c r="C42" s="66"/>
      <c r="D42" s="67"/>
      <c r="E42" s="5"/>
      <c r="F42" s="5"/>
      <c r="G42" s="14"/>
      <c r="H42" s="14"/>
      <c r="I42" s="13"/>
      <c r="J42" s="23" t="s">
        <v>97</v>
      </c>
      <c r="K42" s="68"/>
      <c r="L42" s="24"/>
    </row>
    <row r="43" ht="34.5" customHeight="1" spans="2:19">
      <c r="B43" s="12" t="s">
        <v>100</v>
      </c>
      <c r="C43" s="12"/>
      <c r="D43" s="12"/>
      <c r="E43" s="12"/>
      <c r="F43" s="12"/>
      <c r="G43" s="12"/>
      <c r="H43" s="12"/>
      <c r="I43" s="12"/>
      <c r="J43" s="12"/>
      <c r="K43" s="52"/>
      <c r="L43" s="52"/>
    </row>
    <row r="44" ht="27.75" customHeight="1" spans="2:19">
      <c r="B44" s="38" t="s">
        <v>101</v>
      </c>
      <c r="C44" s="38" t="s">
        <v>46</v>
      </c>
      <c r="D44" s="38" t="s">
        <v>102</v>
      </c>
      <c r="E44" s="38" t="s">
        <v>103</v>
      </c>
      <c r="F44" s="38" t="s">
        <v>104</v>
      </c>
      <c r="G44" s="38" t="s">
        <v>105</v>
      </c>
      <c r="H44" s="38" t="s">
        <v>106</v>
      </c>
      <c r="I44" s="38" t="s">
        <v>107</v>
      </c>
      <c r="J44" s="38" t="s">
        <v>108</v>
      </c>
      <c r="K44" s="38" t="s">
        <v>109</v>
      </c>
      <c r="L44" s="38" t="s">
        <v>110</v>
      </c>
      <c r="M44" s="38" t="s">
        <v>111</v>
      </c>
      <c r="N44" s="38" t="s">
        <v>112</v>
      </c>
      <c r="O44" s="38" t="s">
        <v>113</v>
      </c>
      <c r="R44" s="69"/>
    </row>
    <row r="45" ht="33.75" customHeight="1" spans="2:19">
      <c r="B45" s="38" t="s">
        <v>114</v>
      </c>
      <c r="C45" s="70" t="s">
        <v>79</v>
      </c>
      <c r="D45" s="70">
        <v>1</v>
      </c>
      <c r="E45" s="70"/>
      <c r="F45" s="70">
        <v>2</v>
      </c>
      <c r="G45" s="70"/>
      <c r="H45" s="70">
        <v>3</v>
      </c>
      <c r="I45" s="70"/>
      <c r="J45" s="70">
        <v>4</v>
      </c>
      <c r="K45" s="70"/>
      <c r="L45" s="70">
        <v>3</v>
      </c>
      <c r="M45" s="70"/>
      <c r="N45" s="70"/>
      <c r="O45" s="70">
        <v>2</v>
      </c>
    </row>
    <row r="46" ht="27.75" customHeight="1" spans="2:19">
      <c r="B46" s="38" t="s">
        <v>115</v>
      </c>
      <c r="C46" s="70" t="s">
        <v>79</v>
      </c>
      <c r="D46" s="70">
        <v>7</v>
      </c>
      <c r="E46" s="70"/>
      <c r="F46" s="70">
        <v>7</v>
      </c>
      <c r="G46" s="70"/>
      <c r="H46" s="70" t="s">
        <v>116</v>
      </c>
      <c r="I46" s="70"/>
      <c r="J46" s="70" t="s">
        <v>116</v>
      </c>
      <c r="K46" s="70"/>
      <c r="L46" s="70" t="s">
        <v>117</v>
      </c>
      <c r="M46" s="70"/>
      <c r="N46" s="70"/>
      <c r="O46" s="70">
        <v>7</v>
      </c>
    </row>
    <row r="47" ht="40.9" spans="2:19">
      <c r="B47" s="38" t="s">
        <v>118</v>
      </c>
      <c r="C47" s="71" t="s">
        <v>119</v>
      </c>
      <c r="D47" s="72" t="s">
        <v>120</v>
      </c>
      <c r="E47" s="70"/>
      <c r="F47" s="70" t="s">
        <v>120</v>
      </c>
      <c r="G47" s="70"/>
      <c r="H47" s="70" t="s">
        <v>121</v>
      </c>
      <c r="I47" s="70"/>
      <c r="J47" s="70" t="s">
        <v>122</v>
      </c>
      <c r="K47" s="70"/>
      <c r="L47" s="70" t="s">
        <v>122</v>
      </c>
      <c r="M47" s="70"/>
      <c r="N47" s="70"/>
      <c r="O47" s="70" t="s">
        <v>120</v>
      </c>
    </row>
    <row r="48" ht="27.75" customHeight="1" spans="2:19">
      <c r="B48" s="38" t="s">
        <v>123</v>
      </c>
      <c r="C48" s="71" t="s">
        <v>124</v>
      </c>
      <c r="D48" s="72" t="s">
        <v>125</v>
      </c>
      <c r="E48" s="73"/>
      <c r="F48" s="70" t="s">
        <v>125</v>
      </c>
      <c r="G48" s="70"/>
      <c r="H48" s="70" t="s">
        <v>125</v>
      </c>
      <c r="I48" s="70"/>
      <c r="J48" s="70" t="s">
        <v>125</v>
      </c>
      <c r="K48" s="70"/>
      <c r="L48" s="70" t="s">
        <v>125</v>
      </c>
      <c r="M48" s="70"/>
      <c r="N48" s="70"/>
      <c r="O48" s="70" t="s">
        <v>125</v>
      </c>
    </row>
    <row r="49" ht="40.9" spans="2:16">
      <c r="B49" s="38" t="s">
        <v>126</v>
      </c>
      <c r="C49" s="71" t="s">
        <v>119</v>
      </c>
      <c r="D49" s="72" t="s">
        <v>120</v>
      </c>
      <c r="E49" s="70"/>
      <c r="F49" s="70" t="s">
        <v>120</v>
      </c>
      <c r="G49" s="70"/>
      <c r="H49" s="70" t="s">
        <v>121</v>
      </c>
      <c r="I49" s="70"/>
      <c r="J49" s="70" t="s">
        <v>122</v>
      </c>
      <c r="K49" s="70"/>
      <c r="L49" s="70" t="s">
        <v>122</v>
      </c>
      <c r="M49" s="70"/>
      <c r="N49" s="70"/>
      <c r="O49" s="70" t="s">
        <v>120</v>
      </c>
    </row>
    <row r="50" ht="24" customHeight="1" spans="2:16">
      <c r="B50" s="38" t="s">
        <v>127</v>
      </c>
      <c r="C50" s="71" t="s">
        <v>124</v>
      </c>
      <c r="D50" s="72" t="s">
        <v>128</v>
      </c>
      <c r="E50" s="70"/>
      <c r="F50" s="70" t="s">
        <v>128</v>
      </c>
      <c r="G50" s="70"/>
      <c r="H50" s="70" t="s">
        <v>128</v>
      </c>
      <c r="I50" s="70"/>
      <c r="J50" s="70" t="s">
        <v>129</v>
      </c>
      <c r="K50" s="70"/>
      <c r="L50" s="70" t="s">
        <v>129</v>
      </c>
      <c r="M50" s="70"/>
      <c r="N50" s="70"/>
      <c r="O50" s="70" t="s">
        <v>128</v>
      </c>
    </row>
    <row r="51" ht="40.9" spans="2:16">
      <c r="B51" s="38" t="s">
        <v>130</v>
      </c>
      <c r="C51" s="71" t="s">
        <v>119</v>
      </c>
      <c r="D51" s="72" t="s">
        <v>131</v>
      </c>
      <c r="E51" s="70"/>
      <c r="F51" s="70" t="s">
        <v>132</v>
      </c>
      <c r="G51" s="70"/>
      <c r="H51" s="70" t="s">
        <v>133</v>
      </c>
      <c r="I51" s="70"/>
      <c r="J51" s="70" t="s">
        <v>134</v>
      </c>
      <c r="K51" s="70"/>
      <c r="L51" s="70" t="s">
        <v>134</v>
      </c>
      <c r="M51" s="70"/>
      <c r="N51" s="70"/>
      <c r="O51" s="70" t="s">
        <v>132</v>
      </c>
    </row>
    <row r="52" ht="31" customHeight="1" spans="2:16">
      <c r="B52" s="38" t="s">
        <v>135</v>
      </c>
      <c r="C52" s="71" t="s">
        <v>136</v>
      </c>
      <c r="D52" s="72" t="s">
        <v>137</v>
      </c>
      <c r="E52" s="70"/>
      <c r="F52" s="70" t="s">
        <v>138</v>
      </c>
      <c r="G52" s="70"/>
      <c r="H52" s="70" t="s">
        <v>139</v>
      </c>
      <c r="I52" s="70"/>
      <c r="J52" s="70" t="s">
        <v>140</v>
      </c>
      <c r="K52" s="70"/>
      <c r="L52" s="70" t="s">
        <v>141</v>
      </c>
      <c r="M52" s="70"/>
      <c r="N52" s="70"/>
      <c r="O52" s="70" t="s">
        <v>142</v>
      </c>
    </row>
    <row r="53" ht="24" customHeight="1" spans="2:16">
      <c r="B53" s="74" t="s">
        <v>143</v>
      </c>
      <c r="C53" s="75"/>
      <c r="D53" s="75"/>
      <c r="E53" s="75"/>
      <c r="F53" s="75"/>
      <c r="G53" s="75"/>
      <c r="H53" s="75"/>
      <c r="I53" s="75"/>
      <c r="J53" s="75"/>
      <c r="K53" s="75"/>
      <c r="L53" s="76"/>
      <c r="O53" s="77"/>
    </row>
    <row r="54" ht="32" customHeight="1" spans="2:16">
      <c r="B54" s="38" t="s">
        <v>101</v>
      </c>
      <c r="C54" s="38" t="s">
        <v>102</v>
      </c>
      <c r="D54" s="38" t="s">
        <v>103</v>
      </c>
      <c r="E54" s="38" t="s">
        <v>104</v>
      </c>
      <c r="F54" s="38" t="s">
        <v>105</v>
      </c>
      <c r="G54" s="38" t="s">
        <v>106</v>
      </c>
      <c r="H54" s="38" t="s">
        <v>107</v>
      </c>
      <c r="I54" s="38" t="s">
        <v>108</v>
      </c>
      <c r="J54" s="38" t="s">
        <v>109</v>
      </c>
      <c r="K54" s="38" t="s">
        <v>110</v>
      </c>
      <c r="L54" s="38" t="s">
        <v>111</v>
      </c>
      <c r="M54" s="38" t="s">
        <v>112</v>
      </c>
      <c r="N54" s="38" t="s">
        <v>113</v>
      </c>
      <c r="O54" s="78" t="s">
        <v>144</v>
      </c>
    </row>
    <row r="55" ht="37" customHeight="1" spans="2:16">
      <c r="B55" s="37" t="s">
        <v>145</v>
      </c>
      <c r="C55" s="70">
        <v>147.9</v>
      </c>
      <c r="D55" s="70">
        <v>186.21</v>
      </c>
      <c r="E55" s="70">
        <v>242.54</v>
      </c>
      <c r="F55" s="70">
        <v>325.48</v>
      </c>
      <c r="G55" s="70">
        <v>394.5</v>
      </c>
      <c r="H55" s="70">
        <v>326.3</v>
      </c>
      <c r="I55" s="70">
        <v>287.1</v>
      </c>
      <c r="J55" s="70">
        <v>317.09</v>
      </c>
      <c r="K55" s="70">
        <v>320.52</v>
      </c>
      <c r="L55" s="70">
        <v>275.18</v>
      </c>
      <c r="M55" s="70">
        <v>214.63</v>
      </c>
      <c r="N55" s="70">
        <v>180.11</v>
      </c>
      <c r="O55" s="78" t="s">
        <v>146</v>
      </c>
      <c r="P55">
        <f>SUM(C55:N55)</f>
        <v>3217.56</v>
      </c>
    </row>
    <row r="56" ht="28" customHeight="1" spans="2:16">
      <c r="B56" s="74" t="s">
        <v>147</v>
      </c>
      <c r="C56" s="75"/>
      <c r="D56" s="75"/>
      <c r="E56" s="75"/>
      <c r="F56" s="75"/>
      <c r="G56" s="75"/>
      <c r="H56" s="75"/>
      <c r="I56" s="75"/>
      <c r="J56" s="75"/>
      <c r="K56" s="75"/>
      <c r="L56" s="76"/>
    </row>
    <row r="57" ht="28" customHeight="1" spans="2:16">
      <c r="B57" s="38" t="s">
        <v>74</v>
      </c>
      <c r="C57" s="38" t="s">
        <v>148</v>
      </c>
      <c r="D57" s="38"/>
      <c r="E57" s="38"/>
      <c r="F57" s="38"/>
      <c r="G57" s="38"/>
      <c r="H57" s="38" t="s">
        <v>149</v>
      </c>
      <c r="I57" s="79" t="s">
        <v>46</v>
      </c>
      <c r="J57" s="80"/>
      <c r="K57" s="80"/>
      <c r="L57" s="81"/>
    </row>
    <row r="58" ht="28" customHeight="1" spans="2:16">
      <c r="B58" s="82">
        <v>1</v>
      </c>
      <c r="C58" s="83" t="s">
        <v>150</v>
      </c>
      <c r="D58" s="83"/>
      <c r="E58" s="83"/>
      <c r="F58" s="83"/>
      <c r="G58" s="83"/>
      <c r="H58" s="84" t="s">
        <v>151</v>
      </c>
      <c r="I58" s="85" t="s">
        <v>152</v>
      </c>
      <c r="J58" s="86"/>
      <c r="K58" s="86"/>
      <c r="L58" s="87"/>
    </row>
    <row r="59" customHeight="1" spans="2:16">
      <c r="B59" s="82">
        <v>2</v>
      </c>
      <c r="C59" s="83" t="s">
        <v>153</v>
      </c>
      <c r="D59" s="83"/>
      <c r="E59" s="83"/>
      <c r="F59" s="83"/>
      <c r="G59" s="83"/>
      <c r="H59" s="84" t="s">
        <v>151</v>
      </c>
      <c r="I59" s="85" t="s">
        <v>154</v>
      </c>
      <c r="J59" s="86"/>
      <c r="K59" s="86"/>
      <c r="L59" s="87"/>
    </row>
    <row r="60" customHeight="1" spans="2:16">
      <c r="B60" s="82">
        <v>3</v>
      </c>
      <c r="C60" s="83" t="s">
        <v>155</v>
      </c>
      <c r="D60" s="83"/>
      <c r="E60" s="83"/>
      <c r="F60" s="83"/>
      <c r="G60" s="83"/>
      <c r="H60" s="84" t="s">
        <v>151</v>
      </c>
      <c r="I60" s="85" t="s">
        <v>156</v>
      </c>
      <c r="J60" s="86"/>
      <c r="K60" s="86"/>
      <c r="L60" s="87"/>
    </row>
  </sheetData>
  <mergeCells count="93"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G32:H32"/>
    <mergeCell ref="I32:L32"/>
    <mergeCell ref="E33:F33"/>
    <mergeCell ref="G33:H33"/>
    <mergeCell ref="I33:L33"/>
    <mergeCell ref="E34:F34"/>
    <mergeCell ref="G34:H34"/>
    <mergeCell ref="I34:L34"/>
    <mergeCell ref="E35:F35"/>
    <mergeCell ref="G35:H35"/>
    <mergeCell ref="I35:L35"/>
    <mergeCell ref="B36:L36"/>
    <mergeCell ref="H37:L37"/>
    <mergeCell ref="H38:L38"/>
    <mergeCell ref="G39:H39"/>
    <mergeCell ref="G40:H40"/>
    <mergeCell ref="G41:H41"/>
    <mergeCell ref="G42:H42"/>
    <mergeCell ref="B43:L43"/>
    <mergeCell ref="B53:L53"/>
    <mergeCell ref="B56:L56"/>
    <mergeCell ref="C57:G57"/>
    <mergeCell ref="I57:L57"/>
    <mergeCell ref="C58:G58"/>
    <mergeCell ref="I58:L58"/>
    <mergeCell ref="C59:G59"/>
    <mergeCell ref="I59:L59"/>
    <mergeCell ref="C60:G60"/>
    <mergeCell ref="I60:L60"/>
    <mergeCell ref="B4:B5"/>
    <mergeCell ref="B8:B16"/>
    <mergeCell ref="B17:B21"/>
    <mergeCell ref="B22:B26"/>
    <mergeCell ref="B27:B31"/>
    <mergeCell ref="B32:B35"/>
    <mergeCell ref="B37:B38"/>
    <mergeCell ref="B39:B42"/>
    <mergeCell ref="C9:C12"/>
    <mergeCell ref="C13:C16"/>
    <mergeCell ref="C18:C19"/>
    <mergeCell ref="C20:C21"/>
    <mergeCell ref="C23:C24"/>
    <mergeCell ref="C25:C26"/>
    <mergeCell ref="C28:C29"/>
    <mergeCell ref="C30:C31"/>
    <mergeCell ref="K39:K40"/>
    <mergeCell ref="K41:K42"/>
    <mergeCell ref="M9:M10"/>
    <mergeCell ref="M11:M12"/>
    <mergeCell ref="M13:M14"/>
    <mergeCell ref="M15:M16"/>
    <mergeCell ref="G4:H5"/>
    <mergeCell ref="C37:D38"/>
    <mergeCell ref="E37:F38"/>
    <mergeCell ref="C39:D42"/>
    <mergeCell ref="E39:F42"/>
  </mergeCells>
  <dataValidations count="1">
    <dataValidation type="list" allowBlank="1" showInputMessage="1" showErrorMessage="1" sqref="D33:D35">
      <formula1>$T$6:$T$7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69850</xdr:colOff>
                    <xdr:row>3</xdr:row>
                    <xdr:rowOff>69850</xdr:rowOff>
                  </from>
                  <to>
                    <xdr:col>2</xdr:col>
                    <xdr:colOff>1536700</xdr:colOff>
                    <xdr:row>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69850</xdr:colOff>
                    <xdr:row>3</xdr:row>
                    <xdr:rowOff>298450</xdr:rowOff>
                  </from>
                  <to>
                    <xdr:col>2</xdr:col>
                    <xdr:colOff>1536700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69850</xdr:colOff>
                    <xdr:row>3</xdr:row>
                    <xdr:rowOff>533400</xdr:rowOff>
                  </from>
                  <to>
                    <xdr:col>2</xdr:col>
                    <xdr:colOff>1536700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88900</xdr:colOff>
                    <xdr:row>3</xdr:row>
                    <xdr:rowOff>50800</xdr:rowOff>
                  </from>
                  <to>
                    <xdr:col>10</xdr:col>
                    <xdr:colOff>83185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88900</xdr:colOff>
                    <xdr:row>3</xdr:row>
                    <xdr:rowOff>298450</xdr:rowOff>
                  </from>
                  <to>
                    <xdr:col>10</xdr:col>
                    <xdr:colOff>83185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426085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137160</xdr:colOff>
                    <xdr:row>36</xdr:row>
                    <xdr:rowOff>138430</xdr:rowOff>
                  </from>
                  <to>
                    <xdr:col>3</xdr:col>
                    <xdr:colOff>49530</xdr:colOff>
                    <xdr:row>36</xdr:row>
                    <xdr:rowOff>424180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137160</xdr:colOff>
                    <xdr:row>36</xdr:row>
                    <xdr:rowOff>403860</xdr:rowOff>
                  </from>
                  <to>
                    <xdr:col>3</xdr:col>
                    <xdr:colOff>570865</xdr:colOff>
                    <xdr:row>37</xdr:row>
                    <xdr:rowOff>111760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129540</xdr:colOff>
                    <xdr:row>37</xdr:row>
                    <xdr:rowOff>114300</xdr:rowOff>
                  </from>
                  <to>
                    <xdr:col>3</xdr:col>
                    <xdr:colOff>435610</xdr:colOff>
                    <xdr:row>37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7</xdr:col>
                    <xdr:colOff>88900</xdr:colOff>
                    <xdr:row>36</xdr:row>
                    <xdr:rowOff>241300</xdr:rowOff>
                  </from>
                  <to>
                    <xdr:col>8</xdr:col>
                    <xdr:colOff>344170</xdr:colOff>
                    <xdr:row>36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8</xdr:col>
                    <xdr:colOff>419100</xdr:colOff>
                    <xdr:row>36</xdr:row>
                    <xdr:rowOff>0</xdr:rowOff>
                  </from>
                  <to>
                    <xdr:col>10</xdr:col>
                    <xdr:colOff>344170</xdr:colOff>
                    <xdr:row>36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7</xdr:col>
                    <xdr:colOff>88900</xdr:colOff>
                    <xdr:row>36</xdr:row>
                    <xdr:rowOff>0</xdr:rowOff>
                  </from>
                  <to>
                    <xdr:col>8</xdr:col>
                    <xdr:colOff>369570</xdr:colOff>
                    <xdr:row>36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7</xdr:col>
                    <xdr:colOff>88900</xdr:colOff>
                    <xdr:row>37</xdr:row>
                    <xdr:rowOff>241300</xdr:rowOff>
                  </from>
                  <to>
                    <xdr:col>8</xdr:col>
                    <xdr:colOff>344170</xdr:colOff>
                    <xdr:row>37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8</xdr:col>
                    <xdr:colOff>419100</xdr:colOff>
                    <xdr:row>37</xdr:row>
                    <xdr:rowOff>0</xdr:rowOff>
                  </from>
                  <to>
                    <xdr:col>10</xdr:col>
                    <xdr:colOff>344170</xdr:colOff>
                    <xdr:row>37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7</xdr:col>
                    <xdr:colOff>88900</xdr:colOff>
                    <xdr:row>37</xdr:row>
                    <xdr:rowOff>0</xdr:rowOff>
                  </from>
                  <to>
                    <xdr:col>8</xdr:col>
                    <xdr:colOff>350520</xdr:colOff>
                    <xdr:row>37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name="Check Box 19" r:id="rId18">
              <controlPr defaultSize="0">
                <anchor moveWithCells="1">
                  <from>
                    <xdr:col>2</xdr:col>
                    <xdr:colOff>107315</xdr:colOff>
                    <xdr:row>38</xdr:row>
                    <xdr:rowOff>56515</xdr:rowOff>
                  </from>
                  <to>
                    <xdr:col>3</xdr:col>
                    <xdr:colOff>563880</xdr:colOff>
                    <xdr:row>39</xdr:row>
                    <xdr:rowOff>64135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name="Check Box 20" r:id="rId19">
              <controlPr defaultSize="0">
                <anchor moveWithCells="1">
                  <from>
                    <xdr:col>2</xdr:col>
                    <xdr:colOff>107315</xdr:colOff>
                    <xdr:row>39</xdr:row>
                    <xdr:rowOff>41275</xdr:rowOff>
                  </from>
                  <to>
                    <xdr:col>3</xdr:col>
                    <xdr:colOff>571500</xdr:colOff>
                    <xdr:row>40</xdr:row>
                    <xdr:rowOff>48895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name="Check Box 22" r:id="rId20">
              <controlPr defaultSize="0">
                <anchor moveWithCells="1">
                  <from>
                    <xdr:col>2</xdr:col>
                    <xdr:colOff>107315</xdr:colOff>
                    <xdr:row>40</xdr:row>
                    <xdr:rowOff>255905</xdr:rowOff>
                  </from>
                  <to>
                    <xdr:col>3</xdr:col>
                    <xdr:colOff>1678940</xdr:colOff>
                    <xdr:row>41</xdr:row>
                    <xdr:rowOff>259715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name="Check Box 29" r:id="rId21">
              <controlPr defaultSize="0">
                <anchor moveWithCells="1">
                  <from>
                    <xdr:col>2</xdr:col>
                    <xdr:colOff>99695</xdr:colOff>
                    <xdr:row>40</xdr:row>
                    <xdr:rowOff>26035</xdr:rowOff>
                  </from>
                  <to>
                    <xdr:col>3</xdr:col>
                    <xdr:colOff>891540</xdr:colOff>
                    <xdr:row>41</xdr:row>
                    <xdr:rowOff>33655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name="Check Box 31" r:id="rId22">
              <controlPr defaultSize="0">
                <anchor moveWithCells="1">
                  <from>
                    <xdr:col>6</xdr:col>
                    <xdr:colOff>76200</xdr:colOff>
                    <xdr:row>38</xdr:row>
                    <xdr:rowOff>15240</xdr:rowOff>
                  </from>
                  <to>
                    <xdr:col>7</xdr:col>
                    <xdr:colOff>1146810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name="Check Box 34" r:id="rId23">
              <controlPr defaultSize="0">
                <anchor moveWithCells="1">
                  <from>
                    <xdr:col>6</xdr:col>
                    <xdr:colOff>91440</xdr:colOff>
                    <xdr:row>39</xdr:row>
                    <xdr:rowOff>15240</xdr:rowOff>
                  </from>
                  <to>
                    <xdr:col>7</xdr:col>
                    <xdr:colOff>655320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name="Check Box 37" r:id="rId24">
              <controlPr defaultSize="0">
                <anchor moveWithCells="1">
                  <from>
                    <xdr:col>6</xdr:col>
                    <xdr:colOff>81280</xdr:colOff>
                    <xdr:row>41</xdr:row>
                    <xdr:rowOff>12700</xdr:rowOff>
                  </from>
                  <to>
                    <xdr:col>7</xdr:col>
                    <xdr:colOff>645160</xdr:colOff>
                    <xdr:row>42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name="Check Box 39" r:id="rId25">
              <controlPr defaultSize="0">
                <anchor moveWithCells="1">
                  <from>
                    <xdr:col>6</xdr:col>
                    <xdr:colOff>96520</xdr:colOff>
                    <xdr:row>40</xdr:row>
                    <xdr:rowOff>27940</xdr:rowOff>
                  </from>
                  <to>
                    <xdr:col>7</xdr:col>
                    <xdr:colOff>660400</xdr:colOff>
                    <xdr:row>41</xdr:row>
                    <xdr:rowOff>43180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name="Check Box 40" r:id="rId26">
              <controlPr defaultSize="0">
                <anchor moveWithCells="1">
                  <from>
                    <xdr:col>11</xdr:col>
                    <xdr:colOff>213360</xdr:colOff>
                    <xdr:row>37</xdr:row>
                    <xdr:rowOff>525780</xdr:rowOff>
                  </from>
                  <to>
                    <xdr:col>11</xdr:col>
                    <xdr:colOff>624840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name="Check Box 41" r:id="rId27">
              <controlPr defaultSize="0">
                <anchor moveWithCells="1">
                  <from>
                    <xdr:col>11</xdr:col>
                    <xdr:colOff>218440</xdr:colOff>
                    <xdr:row>39</xdr:row>
                    <xdr:rowOff>12700</xdr:rowOff>
                  </from>
                  <to>
                    <xdr:col>11</xdr:col>
                    <xdr:colOff>629920</xdr:colOff>
                    <xdr:row>40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name="Check Box 42" r:id="rId28">
              <controlPr defaultSize="0">
                <anchor moveWithCells="1">
                  <from>
                    <xdr:col>11</xdr:col>
                    <xdr:colOff>220980</xdr:colOff>
                    <xdr:row>40</xdr:row>
                    <xdr:rowOff>0</xdr:rowOff>
                  </from>
                  <to>
                    <xdr:col>11</xdr:col>
                    <xdr:colOff>632460</xdr:colOff>
                    <xdr:row>41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name="Check Box 43" r:id="rId29">
              <controlPr defaultSize="0">
                <anchor moveWithCells="1">
                  <from>
                    <xdr:col>11</xdr:col>
                    <xdr:colOff>226695</xdr:colOff>
                    <xdr:row>40</xdr:row>
                    <xdr:rowOff>251460</xdr:rowOff>
                  </from>
                  <to>
                    <xdr:col>11</xdr:col>
                    <xdr:colOff>638175</xdr:colOff>
                    <xdr:row>42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7"/>
  <sheetViews>
    <sheetView zoomScale="115" zoomScaleNormal="115" topLeftCell="A5" workbookViewId="0">
      <selection activeCell="B3" sqref="B3:N3"/>
    </sheetView>
  </sheetViews>
  <sheetFormatPr defaultColWidth="9" defaultRowHeight="13.85" outlineLevelRow="6"/>
  <sheetData>
    <row r="2" ht="15" spans="2:14">
      <c r="B2" s="1" t="s">
        <v>157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2.25" customHeight="1" spans="2:1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" spans="2:14">
      <c r="B4" s="1" t="s">
        <v>158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240" customHeight="1" spans="2:1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" spans="2:14">
      <c r="B6" s="1" t="s">
        <v>159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216.75" customHeight="1" spans="2:1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</sheetData>
  <mergeCells count="6"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项目总体情况</vt:lpstr>
      <vt:lpstr>冷站</vt:lpstr>
      <vt:lpstr>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Zhou Ziye</cp:lastModifiedBy>
  <dcterms:created xsi:type="dcterms:W3CDTF">2015-06-06T18:19:00Z</dcterms:created>
  <dcterms:modified xsi:type="dcterms:W3CDTF">2025-12-25T00:49:31Z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344907D4CB6F456883575C061AEE8795_13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