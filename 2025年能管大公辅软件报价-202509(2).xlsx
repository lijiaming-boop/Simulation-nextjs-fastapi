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00"/>
  </bookViews>
  <sheets>
    <sheet name="总报价（总表）" sheetId="2" r:id="rId1"/>
    <sheet name="报价示例-巴城立讯" sheetId="6" state="hidden" r:id="rId2"/>
    <sheet name="大屏定价逻辑" sheetId="8" state="hidden" r:id="rId3"/>
  </sheets>
  <definedNames>
    <definedName name="_xlnm._FilterDatabase" localSheetId="1" hidden="1">'报价示例-巴城立讯'!$1:$1048576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<sst xmlns="http://schemas.openxmlformats.org/spreadsheetml/2006/main" count="629" uniqueCount="333">
  <si>
    <t>报价单结构-示例</t>
  </si>
  <si>
    <t>序号</t>
  </si>
  <si>
    <t>模块</t>
  </si>
  <si>
    <t>数量</t>
  </si>
  <si>
    <t>单位</t>
  </si>
  <si>
    <t>功能描述</t>
  </si>
  <si>
    <t>品牌</t>
  </si>
  <si>
    <t>型号</t>
  </si>
  <si>
    <t>单价（元）</t>
  </si>
  <si>
    <t>总价（元）</t>
  </si>
  <si>
    <t>备注</t>
  </si>
  <si>
    <t>一</t>
  </si>
  <si>
    <t>平台软件</t>
  </si>
  <si>
    <t>系统基础平台</t>
  </si>
  <si>
    <t>套</t>
  </si>
  <si>
    <t>能源管理系统基础平台，B/S架构，包含数据监测、监控中心、报警中心、能耗统计、能源分析、系统管理等基本功能。</t>
  </si>
  <si>
    <t>蘑菇物联</t>
  </si>
  <si>
    <t>云智控4.0</t>
  </si>
  <si>
    <t>数据点位</t>
  </si>
  <si>
    <t>个</t>
  </si>
  <si>
    <t>接入系统表计数据点位 共计210台电表 20台流量计 82台水表 考虑上浮共计10000点位</t>
  </si>
  <si>
    <t>共计10000个点位</t>
  </si>
  <si>
    <t>选配功能</t>
  </si>
  <si>
    <t>能源管理高级功能：能源效率分析、能耗分摊统计、批次单耗分析、能源目标管理、能源AI预测</t>
  </si>
  <si>
    <t>定制化服务</t>
  </si>
  <si>
    <t>定制化大屏40个</t>
  </si>
  <si>
    <t>定制化报表20个</t>
  </si>
  <si>
    <t>接入10套能源关联系统</t>
  </si>
  <si>
    <t>软件及AI控制模型（PC端）</t>
  </si>
  <si>
    <t>一期系统</t>
  </si>
  <si>
    <t>边缘智能控制系统</t>
  </si>
  <si>
    <t>小计</t>
  </si>
  <si>
    <t>二</t>
  </si>
  <si>
    <t>硬件设备及传感器</t>
  </si>
  <si>
    <t>智能传感单元</t>
  </si>
  <si>
    <t>蘑菇MU-MOD-02-V5-LAN-用以常规能源表记数据采集</t>
  </si>
  <si>
    <t>MU-MOD-02-V5-LAN</t>
  </si>
  <si>
    <t>冷水主机通讯卡及采集模组</t>
  </si>
  <si>
    <t>一期冷机</t>
  </si>
  <si>
    <t>智能控制单元柜</t>
  </si>
  <si>
    <t>一期冷机、水泵、冷却塔、电动阀门</t>
  </si>
  <si>
    <t>工业网关及嵌入式软件</t>
  </si>
  <si>
    <t>电表数据、末端数据采集</t>
  </si>
  <si>
    <t>气象仪采集模块</t>
  </si>
  <si>
    <t>室外气象仪数据采集</t>
  </si>
  <si>
    <t>室外气象仪</t>
  </si>
  <si>
    <t>只</t>
  </si>
  <si>
    <t>室外环境监测</t>
  </si>
  <si>
    <t>水温度传感器</t>
  </si>
  <si>
    <t>冷冻水供回水总管4个+冷却水供回水总管2个</t>
  </si>
  <si>
    <t>水压力传感器</t>
  </si>
  <si>
    <t>超声波流量计(插入式)</t>
  </si>
  <si>
    <t>冷冻水回水总管2个</t>
  </si>
  <si>
    <t>三相多功能电表（含互感器）</t>
  </si>
  <si>
    <t>一期设备</t>
  </si>
  <si>
    <t>三</t>
  </si>
  <si>
    <t>实施及调试</t>
  </si>
  <si>
    <t>能管系统硬件施工</t>
  </si>
  <si>
    <t>人天</t>
  </si>
  <si>
    <t>所有网关的现场安装调试</t>
  </si>
  <si>
    <t>/</t>
  </si>
  <si>
    <t>能管系统调试+培训</t>
  </si>
  <si>
    <t>所有系统的现场功能调试、测试、复核及培训等</t>
  </si>
  <si>
    <t>能管系统额外功能开发</t>
  </si>
  <si>
    <t>需求功能开发</t>
  </si>
  <si>
    <t>冷冻站房技术实施</t>
  </si>
  <si>
    <t>项</t>
  </si>
  <si>
    <t>冷冻站房技术服务</t>
  </si>
  <si>
    <t>四</t>
  </si>
  <si>
    <t>税费（软硬件13%，调试6%）</t>
  </si>
  <si>
    <t>增值税</t>
  </si>
  <si>
    <t>软硬件13%，调试6%</t>
  </si>
  <si>
    <t xml:space="preserve">   总计</t>
  </si>
  <si>
    <t>分类</t>
  </si>
  <si>
    <t>功能</t>
  </si>
  <si>
    <t>标配/选配</t>
  </si>
  <si>
    <t>类型</t>
  </si>
  <si>
    <t>实际单位人天</t>
  </si>
  <si>
    <t>实际单位成本</t>
  </si>
  <si>
    <t>标准底价</t>
  </si>
  <si>
    <t>非联营公司底价</t>
  </si>
  <si>
    <t>联营公司底价</t>
  </si>
  <si>
    <t>小计（标准底价）</t>
  </si>
  <si>
    <t>小计（非联营公司底价）</t>
  </si>
  <si>
    <t>小计（联营公司底价）</t>
  </si>
  <si>
    <t>注意事项</t>
  </si>
  <si>
    <t>基础平台</t>
  </si>
  <si>
    <t>能源管理基础功能</t>
  </si>
  <si>
    <t>标配</t>
  </si>
  <si>
    <t>能源管理系统基础平台，B/S架构，价格包含下列所有软件标配功能</t>
  </si>
  <si>
    <t>能源管理
基础功能</t>
  </si>
  <si>
    <t>能耗统计</t>
  </si>
  <si>
    <t>能耗抄表统计</t>
  </si>
  <si>
    <t>按计量层级（总表、分表、子表）统计能耗数据，包括趋势分析、同比环比分析、节点对比分析</t>
  </si>
  <si>
    <t>能耗分项统计</t>
  </si>
  <si>
    <t>按能源用途（生产用能、非生产用能）统计能耗数据，包括趋势分析、同比环比分析、节点对比分析</t>
  </si>
  <si>
    <t>能耗分区统计</t>
  </si>
  <si>
    <t>按不同区域（全厂、分厂、车间）统计能耗、折标煤、碳耗数据，包括趋势分析、同比环比分析、节点对比分析</t>
  </si>
  <si>
    <t>能耗部门统计</t>
  </si>
  <si>
    <t>按不同部门统计能耗、折标煤、碳耗数据，包括趋势分析、同比环比分析、节点对比分析</t>
  </si>
  <si>
    <t>能耗分析</t>
  </si>
  <si>
    <t>能源流向分析</t>
  </si>
  <si>
    <t>支持多维度（计量层级、能源用途、部门、区域）分析能源流向</t>
  </si>
  <si>
    <t>能源成本分析</t>
  </si>
  <si>
    <t>支持多维度（计量层级、能源用途、部门、区域）分析能源成本组成</t>
  </si>
  <si>
    <t>能源占比分析</t>
  </si>
  <si>
    <t>支持多维度（计量层级、能源用途、部门、区域）分析能源占比</t>
  </si>
  <si>
    <t>能源对比分析</t>
  </si>
  <si>
    <t>支持多维度（计量层级、能源用途、部门、区域）进行能源对比，可收藏常用对比项</t>
  </si>
  <si>
    <t>峰平谷分析</t>
  </si>
  <si>
    <t>支持多维度支持多维度（计量层级、能源用途、部门、区域）不同时段（尖、峰、平、谷）的电耗数据</t>
  </si>
  <si>
    <t>报警管理</t>
  </si>
  <si>
    <t>设备报警</t>
  </si>
  <si>
    <t>设备运行参数超限告警</t>
  </si>
  <si>
    <t>能耗报警</t>
  </si>
  <si>
    <t>能源用量超限告警（每小时、每日、每月）</t>
  </si>
  <si>
    <t>支持报警等级分级，可对不同报警等级设定以下内容：
1. 报警方式：包括不限于语音播报、弹窗提醒、连续播报、大屏展示等
2. 报警间歇或次数
3. 报警角色</t>
  </si>
  <si>
    <t>数据录入</t>
  </si>
  <si>
    <t>人工抄表</t>
  </si>
  <si>
    <t>支持人工录入未接入的能源表计数据</t>
  </si>
  <si>
    <t>能耗单价</t>
  </si>
  <si>
    <t>能耗单价设置</t>
  </si>
  <si>
    <t>支持修改和维护电、气、水等各类能源价格</t>
  </si>
  <si>
    <t>系统管理功能</t>
  </si>
  <si>
    <t>用户管理</t>
  </si>
  <si>
    <t>角色管理</t>
  </si>
  <si>
    <t>用户账号添加、删除、启用、禁用等操作</t>
  </si>
  <si>
    <t>权限管理</t>
  </si>
  <si>
    <t>支持配置角色及对应数据权限、功能权限管理</t>
  </si>
  <si>
    <t>安全日志</t>
  </si>
  <si>
    <t>登录日志</t>
  </si>
  <si>
    <t>自动生成用户登录日志（用户、客户端、IP等）</t>
  </si>
  <si>
    <t>操作日志</t>
  </si>
  <si>
    <t>自动生成用户操作日志（新增、删除、编辑、导出等）</t>
  </si>
  <si>
    <t>人工录入日志</t>
  </si>
  <si>
    <t>自动生成用户人工录入操作记录</t>
  </si>
  <si>
    <t>系统设置</t>
  </si>
  <si>
    <t>数据权限管理</t>
  </si>
  <si>
    <t>支持根据位置结构进行数据权限划分</t>
  </si>
  <si>
    <t>位置管理</t>
  </si>
  <si>
    <t>支持根据集团、基地、厂区、楼栋、站房、设备等多级关系界定管理模型，辅助全系统数据分级分区管理</t>
  </si>
  <si>
    <t>菜单设置</t>
  </si>
  <si>
    <t>支持自定义配置系统菜单，包括菜单名称、展示层级等</t>
  </si>
  <si>
    <t>标准API数据输出</t>
  </si>
  <si>
    <t>标准接口</t>
  </si>
  <si>
    <t>支持通过标准接口输出系统监测数据</t>
  </si>
  <si>
    <t>数据订阅</t>
  </si>
  <si>
    <t>支持通过Rocket MQ进行数据订阅，推送各类监测参数。</t>
  </si>
  <si>
    <t>第三方免密登录</t>
  </si>
  <si>
    <t>支持嵌入第三方系统集成到其他客户平台使用，支持免密登录，可将系统菜单功能层级的某一具体页面嵌入，也可系统整体嵌入，嵌入后免密无感跳转使用。</t>
  </si>
  <si>
    <t>接入点位</t>
  </si>
  <si>
    <t>点位数量
License</t>
  </si>
  <si>
    <t>选配</t>
  </si>
  <si>
    <t>参数数量：≤1,000个</t>
  </si>
  <si>
    <t>按照表计、设备、PLC、系统等参数量评估点位数量总和。注意：点位总数需要留有一定余量
1.  电表：12点位/个
2.  水表：3点位/个
3.  温度传感器：1点位/个
4.  湿度传感器：1点位/个
5.  流量计：3点位/个</t>
  </si>
  <si>
    <t>参数数量：≤2,000个</t>
  </si>
  <si>
    <t>参数数量：≤3,000个</t>
  </si>
  <si>
    <t>参数数量：≤4,000个</t>
  </si>
  <si>
    <t>参数数量：≤5,000个</t>
  </si>
  <si>
    <t>参数数量：≤6,000个</t>
  </si>
  <si>
    <t>参数数量：≤7,000个</t>
  </si>
  <si>
    <t>参数数量：≤8,000个</t>
  </si>
  <si>
    <t>参数数量：≤9,000个</t>
  </si>
  <si>
    <t>参数数量：≤10,000个</t>
  </si>
  <si>
    <t>参数数量：＞10,000个</t>
  </si>
  <si>
    <t>参数数量：＞10,0000个</t>
  </si>
  <si>
    <t>企业定制</t>
  </si>
  <si>
    <t>VI定制</t>
  </si>
  <si>
    <t>VI+设计定制</t>
  </si>
  <si>
    <t>按照企业VI要求，定制网页端登录页、登录框、导航栏设计。乙方提供设计、开发和配置服务。</t>
  </si>
  <si>
    <t>评估需提供以下资料：统计要做哪些范围，并提供VI要求文档</t>
  </si>
  <si>
    <t>企业自行提供指定尺寸的登录页、登录框、导航栏设计图。乙方负责开发配置。</t>
  </si>
  <si>
    <t>定制化大屏</t>
  </si>
  <si>
    <t>能源看板</t>
  </si>
  <si>
    <t>集团化/全厂看板</t>
  </si>
  <si>
    <t>3D版，设计底图（需要建模+渲染+动效），按照要求设计大屏</t>
  </si>
  <si>
    <t>页</t>
  </si>
  <si>
    <t>需要UED评估</t>
  </si>
  <si>
    <t>评估需提供以下资料：1. 统计有多少栋楼，提供厂房CAD或全景照片  2. 客户是否需要精细化建模（1:1还原比例和颜色）3. 是否需要双语版（中英文切换）？</t>
  </si>
  <si>
    <t>2D/2.5D版，设计底图（需要建模+渲染+动效），按照要求设计大屏</t>
  </si>
  <si>
    <t>2D/2.5D版，客户自行提供底图，按照要求设计大屏</t>
  </si>
  <si>
    <t>2D/2.5D版，客户自行提供底图，按照要求设计大屏（双语版）</t>
  </si>
  <si>
    <t>能耗管理看板</t>
  </si>
  <si>
    <t>2D版，无底图，按照要求设计大屏</t>
  </si>
  <si>
    <t>2D版，无底图，按照要求设计大屏
（双语版）</t>
  </si>
  <si>
    <t>碳概览看板</t>
  </si>
  <si>
    <t>基于能源统计和分析结果，折算出工厂二氧化碳排放数据，包括：不同厂区、不同能源类型、不同区域、不同能源用途等碳排放结果。对企业整体碳管理现状和成果进行综合展示。可按照厂区实际情况和视觉设计要求调整。。</t>
  </si>
  <si>
    <t>产线看板</t>
  </si>
  <si>
    <t>运行监控</t>
  </si>
  <si>
    <t>站房组态</t>
  </si>
  <si>
    <t>3D版，按照要求设计大屏</t>
  </si>
  <si>
    <t>评估需提供以下资料：1.统计要做多少种设备，并提供设备图纸 2.是否需要英文版</t>
  </si>
  <si>
    <t>2D/2.5D版，按照要求设计大屏</t>
  </si>
  <si>
    <t>评估组态数量的依据：1. 空压、空调：按照站房数量  2. 表计：按照表计数量，电表10个/组态  3. 末端监测：按照楼层数量 4. 消防/安环卫等：按照客户图纸数量</t>
  </si>
  <si>
    <t>2D/2.5D版，按照要求设计大屏
（双语版）</t>
  </si>
  <si>
    <t>定制工艺流程图</t>
  </si>
  <si>
    <t>评估需提供以下资料：1.统计要做多少种设备，2.提供设备图纸</t>
  </si>
  <si>
    <t>移动端</t>
  </si>
  <si>
    <t>移动端
（云端部署）</t>
  </si>
  <si>
    <t>微信小程序</t>
  </si>
  <si>
    <t>1、能耗看板：能源数据统计、设备运行状态统计。
2、实时数据展示：设备参数的实时展示。
3、预警消息查看：微信小程序内查看预警消息。</t>
  </si>
  <si>
    <t>移动端
（本地部署）</t>
  </si>
  <si>
    <t>微信小程序/钉钉小程序/APP</t>
  </si>
  <si>
    <t>客户提供：企业版小程序账号、服务器公网IP、域名、域名备案、SSL证书；
蘑菇提供：部署服务、运维服务。</t>
  </si>
  <si>
    <t>报警定向推送</t>
  </si>
  <si>
    <t>钉钉消息推送</t>
  </si>
  <si>
    <t>钉钉群/个人推送</t>
  </si>
  <si>
    <t>支持通过钉钉官方接口，将通知报警推送给对应用户，或钉钉机器人在内部群聊进行报警推送。</t>
  </si>
  <si>
    <t>如果为本地化部署，需要支持连接外网</t>
  </si>
  <si>
    <t>支持通过客户封装接口，将通知报警推送给对应用户，或钉钉机器人在内部群聊进行报警推送。</t>
  </si>
  <si>
    <t>企业微信推送</t>
  </si>
  <si>
    <t>企业微信群/个人推送</t>
  </si>
  <si>
    <t>支持通过企业微信官方接口，将通知报警推送给对应用户，或钉钉机器人在内部群聊进行报警推送。</t>
  </si>
  <si>
    <t>能源管理
高级功能</t>
  </si>
  <si>
    <t>高级分析功能</t>
  </si>
  <si>
    <t>能源效率分析</t>
  </si>
  <si>
    <t>1.支持各类能源的效率分析，包括单位产品能效和单位产值能效分析
2.统计维度可包含：基地、厂区、车间、线体/部门 
3.无系统数据的情况下，可支持人工录入产量产值数据</t>
  </si>
  <si>
    <t>能耗分摊统计</t>
  </si>
  <si>
    <t>支持根据电力局/水务发票核算厂区、楼栋、车间的能源成本，并完成等比例的分摊统计</t>
  </si>
  <si>
    <t>批次单耗分析</t>
  </si>
  <si>
    <t>支持分析不同批次、不同产品类型、不同型号的多种能源消耗和单位产品能耗</t>
  </si>
  <si>
    <t>必须在MES对接的前提条件下方可使用</t>
  </si>
  <si>
    <t>能源预测与管理</t>
  </si>
  <si>
    <t>能源预测</t>
  </si>
  <si>
    <t>使用AI预测算法，支持根据历史数据或生产计划、单位产品能耗，对用能量进行预测。
系统通过曲线图和报表方式直观显示预测的偏差值和准确率。</t>
  </si>
  <si>
    <t>建议结合对接APS系统、天气预报（需连接外网）使用。</t>
  </si>
  <si>
    <t>能源目标</t>
  </si>
  <si>
    <t>支持以曲线图和报表方式展现指定区域、部门当前用各类能源的能耗值与行业先进指标、基准值或考核值的对比情况和用能评价。</t>
  </si>
  <si>
    <t>能源AI智能分析</t>
  </si>
  <si>
    <t>AI自动分析</t>
  </si>
  <si>
    <t>基于工业场景的专业人工智能模型，根据能源分析模型结构，定期提供能源使用分析报告，精准定位故障原因，提供建议的解决方案。</t>
  </si>
  <si>
    <t>需要产品评估</t>
  </si>
  <si>
    <t>需要产研参与调试和长期跟踪，请在售前阶段联系产品经理</t>
  </si>
  <si>
    <t>碳管理</t>
  </si>
  <si>
    <t>折碳系数管理</t>
  </si>
  <si>
    <t>支持修改和维护各类能源的折煤折碳系数</t>
  </si>
  <si>
    <t>碳排放监测</t>
  </si>
  <si>
    <t>将能源数据按碳排放汇算方式转化为碳排放数据，按总数据、年数据、月数据、日数据分项汇总，实时更新。
以曲线图方式呈现用能趋势，可切换年数据、月数据、日数据不同模式及各种用能类型。</t>
  </si>
  <si>
    <t>运维管理功能</t>
  </si>
  <si>
    <t>设备台账</t>
  </si>
  <si>
    <t>设备台账管理</t>
  </si>
  <si>
    <t>厂区内按照楼栋、类别、统计设备数量及当前周期内保养数量统计；保养计划&amp;记录可依据时间周期、楼栋、设备类别筛选</t>
  </si>
  <si>
    <t>特种设备管理</t>
  </si>
  <si>
    <t>厂区内按照楼栋、类别、统计设备数量及当前周期内送检明细统计，特种设备管理的画面与二维码均预留人员信息录入</t>
  </si>
  <si>
    <t>资产管理</t>
  </si>
  <si>
    <t>厂区内按照设备铭牌信息、资产编号、运行数据（含设定值）、重要参数趋势图、存放位置、维保历史、维修记录等进行统计</t>
  </si>
  <si>
    <t>工单管理</t>
  </si>
  <si>
    <t>工单中心</t>
  </si>
  <si>
    <t>具备工单创建、分配、跟踪、处理进度更新及统计分析等功能，用以高效管理各类业务流程中产生的任务需求 。</t>
  </si>
  <si>
    <t>自动巡检</t>
  </si>
  <si>
    <t>空压站、制冷站运维自动巡检_按照厂区/楼栋为单位巡检机电公辅系统，自动巡检、手动巡检生成巡检记录可供追溯（自动巡检时间/周期可自行设定），增加巡检数据异常判定功能</t>
  </si>
  <si>
    <t>点检管理</t>
  </si>
  <si>
    <t>对设备、机器、设施等各种资产进行定期点检、巡检和保养，记录设备的状态和问题，包括点检计划管理、点检执行管理和设备保养记录等</t>
  </si>
  <si>
    <t>仓储系统</t>
  </si>
  <si>
    <t>备件档案</t>
  </si>
  <si>
    <t>进行备品备件的库存管理，支持库存的增减和低库存提醒</t>
  </si>
  <si>
    <t>备件领用单</t>
  </si>
  <si>
    <t>可进行备品备件领用申请，支持工单领用备品备件并形成记录</t>
  </si>
  <si>
    <t>出入库记录</t>
  </si>
  <si>
    <t>库房管理员可通过出入库单据对备品备件的库存进行管理留档</t>
  </si>
  <si>
    <t>知识库</t>
  </si>
  <si>
    <t>文档管理</t>
  </si>
  <si>
    <t>分类进行文档管理，支持预览、下载</t>
  </si>
  <si>
    <t>管理后台</t>
  </si>
  <si>
    <t>数字驾驶舱配置与管理</t>
  </si>
  <si>
    <t>支持数据可视化界面编辑与管理，支持通过拖拉拽的方式编辑数据驾驶舱，利用已有的数据驾驶舱组件搭建和修改大屏内容。包含提供对应的线下培训服务、后续功能答疑和操作指引资料</t>
  </si>
  <si>
    <t>能源管理模型配置与管理</t>
  </si>
  <si>
    <t>支持能源编辑与管理，可根据业务实际变化，调整任意能源管理的数据结构和数据源。包含对应的线下培训服务、后续答疑和操作指引资料</t>
  </si>
  <si>
    <t>网关、设备、协议配置与管理</t>
  </si>
  <si>
    <t>支持统一管理物联网终端接入，支持协议通信与设备状态监控。包含对应的线下培训服务、后续答疑和操作指引资料</t>
  </si>
  <si>
    <t>系统集成</t>
  </si>
  <si>
    <t>物联数据对接</t>
  </si>
  <si>
    <t>自控系统</t>
  </si>
  <si>
    <t>非工业协议对接，例如（API、MQTT）</t>
  </si>
  <si>
    <t>此处仅为系统集成开发的费用，调试需要另外根据点位数算调试费</t>
  </si>
  <si>
    <t>微电网系统</t>
  </si>
  <si>
    <t>对接微电网系统采集数据，例如（API、MQTT）</t>
  </si>
  <si>
    <t>光伏系统</t>
  </si>
  <si>
    <t>对接光伏系统采集数据，例如（API、MQTT）</t>
  </si>
  <si>
    <t>能管相关数据对接</t>
  </si>
  <si>
    <t>MES系统（每日产量)</t>
  </si>
  <si>
    <t>获取每小时或每日的产量数据</t>
  </si>
  <si>
    <t>API、数据库等</t>
  </si>
  <si>
    <t>MES系统（批次信息）</t>
  </si>
  <si>
    <t>获取批次的产量数据</t>
  </si>
  <si>
    <t>排产计划系统（APS）</t>
  </si>
  <si>
    <t>获取未来一段时间每天的排产数据，用于能耗预测</t>
  </si>
  <si>
    <t>省政府能源管理平台</t>
  </si>
  <si>
    <t>按天、小时颗粒度上报企业的总能耗数据到省政府能源管理平台</t>
  </si>
  <si>
    <t>API</t>
  </si>
  <si>
    <t>系统基础数据对接</t>
  </si>
  <si>
    <t>统一身份认证平台</t>
  </si>
  <si>
    <t>对接客户的统一登录平台，实现免密登录到4.0系统</t>
  </si>
  <si>
    <t>视频监控对接</t>
  </si>
  <si>
    <t>视频监控系统</t>
  </si>
  <si>
    <t>与视频监控平台打通，实现在4.0 视频监控模块下查看实时监控画面</t>
  </si>
  <si>
    <t>其他系统对接</t>
  </si>
  <si>
    <t>EAM、OA等其他系统</t>
  </si>
  <si>
    <t>例如与EAM系统对接工单、报警等数据</t>
  </si>
  <si>
    <t>需要产研评估功能是否支持，请在售前阶段联系产品经理</t>
  </si>
  <si>
    <t>定制功能</t>
  </si>
  <si>
    <t>具体客户需求需要专职产品经理参与评估</t>
  </si>
  <si>
    <t>资质认证</t>
  </si>
  <si>
    <t>GMP认证</t>
  </si>
  <si>
    <t>满足GMP认证要求</t>
  </si>
  <si>
    <t>1. 安全操作：关键动作和数据的增删改
2. 角色设置：支持三级以上的角色设置
3. 日志记录：所有增删改动作，支持组合搜索和筛选</t>
  </si>
  <si>
    <t>总计</t>
  </si>
  <si>
    <t>对象</t>
  </si>
  <si>
    <t>标准单价</t>
  </si>
  <si>
    <t>对接注意事项</t>
  </si>
  <si>
    <t>系统功能及描述</t>
  </si>
  <si>
    <t>定制设计板块</t>
  </si>
  <si>
    <t>定制大屏(2D/2.5D)</t>
  </si>
  <si>
    <t>客户自行提供底图，按照要求设计大屏</t>
  </si>
  <si>
    <t>/页</t>
  </si>
  <si>
    <t>UED需要渲染调色</t>
  </si>
  <si>
    <t>客户自行提供底图，按照要求设计大屏（双语版）</t>
  </si>
  <si>
    <t>按照要求设计无底图的大屏</t>
  </si>
  <si>
    <t>按照要求设计无底图的大屏
（双语版）</t>
  </si>
  <si>
    <t>按照要求设计大屏+设计底图（需要建模+渲染+动效）</t>
  </si>
  <si>
    <t>需要肖宽评估</t>
  </si>
  <si>
    <t>评估需提供以下资料：1. 统计有多少栋楼，提供厂房CAD或全景照片  2. 客户是否需要精细化建模（1:1还原比例和颜色）</t>
  </si>
  <si>
    <t>定制组态(2D/2.5D)</t>
  </si>
  <si>
    <t>组态数量≤2个（随系统赠送）</t>
  </si>
  <si>
    <t>如何评估组态数量：1. 空压、空调：按照站房数量  2. 表计：按照表计数量，电表10个/组态  3. 末端监测：按照楼层数量 4.网络拓扑</t>
  </si>
  <si>
    <t>组态数量&gt;2个</t>
  </si>
  <si>
    <t>双语版组态（支持中英双语切换）</t>
  </si>
  <si>
    <t>定制大屏(3D)</t>
  </si>
  <si>
    <t>定制组态(3D)</t>
  </si>
  <si>
    <t>按照要求设计页面+设备（需要建模+渲染+动效）</t>
  </si>
  <si>
    <t>评估需提供以下资料：统计要做多少种设备，并提供设备图纸</t>
  </si>
  <si>
    <t>按照企业VI要求，定制登录页、登录框、导航栏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</si>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</sst>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_-* #,##0.0_-;\-* #,##0.0_-;_-* &quot;-&quot;??_-;_-@_-"/>
    <numFmt numFmtId="178" formatCode="_-[$$]* #,##0.00_ ;_-[$$]* \-#,##0.00\ ;_-[$$]* &quot;-&quot;??_ ;_-@_ "/>
  </numFmts>
  <fonts count="41">
    <font>
      <sz val="12"/>
      <color theme="1"/>
      <name val="等线"/>
      <charset val="134"/>
      <scheme val="minor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name val="宋体"/>
      <charset val="134"/>
    </font>
    <font>
      <sz val="11"/>
      <name val="等线"/>
      <charset val="134"/>
    </font>
    <font>
      <b/>
      <sz val="11"/>
      <name val="default"/>
      <charset val="134"/>
    </font>
    <font>
      <sz val="11"/>
      <name val="default"/>
      <charset val="134"/>
    </font>
    <font>
      <sz val="11"/>
      <color rgb="FFFE0300"/>
      <name val="default"/>
      <charset val="134"/>
    </font>
    <font>
      <sz val="11"/>
      <color rgb="FF000000"/>
      <name val="default"/>
      <charset val="134"/>
    </font>
    <font>
      <b/>
      <sz val="11"/>
      <color rgb="FF000000"/>
      <name val="default"/>
      <charset val="134"/>
    </font>
    <font>
      <sz val="10"/>
      <color rgb="FFFE0300"/>
      <name val="等线"/>
      <charset val="134"/>
      <scheme val="minor"/>
    </font>
    <font>
      <sz val="10"/>
      <color rgb="FF000000"/>
      <name val="Microsoft YaHei"/>
      <charset val="134"/>
    </font>
    <font>
      <b/>
      <sz val="12"/>
      <color rgb="FF000000"/>
      <name val="宋体"/>
      <charset val="134"/>
    </font>
    <font>
      <sz val="12"/>
      <color rgb="FF000000"/>
      <name val="等线"/>
      <charset val="134"/>
    </font>
    <font>
      <sz val="10"/>
      <color rgb="FF000000"/>
      <name val="宋体"/>
      <charset val="134"/>
    </font>
    <font>
      <b/>
      <sz val="16"/>
      <color rgb="FF000000"/>
      <name val="宋体"/>
      <charset val="134"/>
    </font>
    <font>
      <sz val="16"/>
      <name val="宋体"/>
      <charset val="134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EC3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1" borderId="1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19" applyNumberFormat="0" applyAlignment="0" applyProtection="0">
      <alignment vertical="center"/>
    </xf>
    <xf numFmtId="0" fontId="31" fillId="13" borderId="20" applyNumberFormat="0" applyAlignment="0" applyProtection="0">
      <alignment vertical="center"/>
    </xf>
    <xf numFmtId="0" fontId="32" fillId="13" borderId="19" applyNumberFormat="0" applyAlignment="0" applyProtection="0">
      <alignment vertical="center"/>
    </xf>
    <xf numFmtId="0" fontId="33" fillId="14" borderId="21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2" fillId="0" borderId="0" xfId="0" applyFont="1">
      <alignment vertical="center"/>
    </xf>
    <xf numFmtId="0" fontId="1" fillId="0" borderId="2" xfId="0" applyFont="1" applyBorder="1" applyAlignment="1" applyProtection="1">
      <alignment horizontal="center" vertical="center"/>
    </xf>
    <xf numFmtId="0" fontId="3" fillId="0" borderId="3" xfId="0" applyFont="1" applyBorder="1" applyProtection="1">
      <alignment vertical="center"/>
    </xf>
    <xf numFmtId="0" fontId="3" fillId="0" borderId="4" xfId="0" applyFont="1" applyBorder="1" applyProtection="1">
      <alignment vertical="center"/>
    </xf>
    <xf numFmtId="0" fontId="4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6" fillId="2" borderId="5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7" fillId="4" borderId="1" xfId="0" applyFont="1" applyFill="1" applyBorder="1" applyProtection="1">
      <alignment vertical="center"/>
    </xf>
    <xf numFmtId="0" fontId="3" fillId="4" borderId="1" xfId="0" applyFont="1" applyFill="1" applyBorder="1" applyProtection="1">
      <alignment vertical="center"/>
    </xf>
    <xf numFmtId="177" fontId="9" fillId="4" borderId="1" xfId="0" applyNumberFormat="1" applyFont="1" applyFill="1" applyBorder="1" applyAlignment="1" applyProtection="1">
      <alignment horizontal="center" vertical="center" wrapText="1"/>
    </xf>
    <xf numFmtId="0" fontId="7" fillId="5" borderId="1" xfId="0" applyFont="1" applyFill="1" applyBorder="1" applyAlignment="1" applyProtection="1">
      <alignment horizontal="center" vertical="center"/>
    </xf>
    <xf numFmtId="0" fontId="7" fillId="5" borderId="1" xfId="0" applyFont="1" applyFill="1" applyBorder="1" applyAlignment="1" applyProtection="1">
      <alignment horizontal="center" vertical="center" wrapText="1"/>
    </xf>
    <xf numFmtId="0" fontId="7" fillId="5" borderId="1" xfId="0" applyFont="1" applyFill="1" applyBorder="1" applyProtection="1">
      <alignment vertical="center"/>
    </xf>
    <xf numFmtId="0" fontId="8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7" fillId="6" borderId="3" xfId="0" applyFont="1" applyFill="1" applyBorder="1" applyAlignment="1" applyProtection="1">
      <alignment horizontal="center" vertical="center"/>
    </xf>
    <xf numFmtId="0" fontId="7" fillId="6" borderId="4" xfId="0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</xf>
    <xf numFmtId="0" fontId="7" fillId="6" borderId="2" xfId="0" applyFont="1" applyFill="1" applyBorder="1" applyAlignment="1" applyProtection="1">
      <alignment horizontal="center" vertical="center"/>
    </xf>
    <xf numFmtId="0" fontId="7" fillId="6" borderId="1" xfId="0" applyFont="1" applyFill="1" applyBorder="1" applyAlignment="1" applyProtection="1">
      <alignment horizontal="center" vertical="center"/>
    </xf>
    <xf numFmtId="0" fontId="9" fillId="0" borderId="8" xfId="0" applyFont="1" applyBorder="1" applyAlignment="1" applyProtection="1">
      <alignment horizontal="center" vertical="center"/>
    </xf>
    <xf numFmtId="0" fontId="7" fillId="6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</xf>
    <xf numFmtId="0" fontId="7" fillId="7" borderId="1" xfId="0" applyFont="1" applyFill="1" applyBorder="1" applyAlignment="1" applyProtection="1">
      <alignment horizontal="center" vertical="center" wrapText="1"/>
    </xf>
    <xf numFmtId="0" fontId="7" fillId="7" borderId="4" xfId="0" applyFont="1" applyFill="1" applyBorder="1" applyAlignment="1" applyProtection="1">
      <alignment horizontal="center" vertical="center"/>
    </xf>
    <xf numFmtId="0" fontId="7" fillId="7" borderId="1" xfId="0" applyFont="1" applyFill="1" applyBorder="1" applyProtection="1">
      <alignment vertical="center"/>
    </xf>
    <xf numFmtId="0" fontId="7" fillId="7" borderId="1" xfId="0" applyFont="1" applyFill="1" applyBorder="1" applyAlignment="1" applyProtection="1">
      <alignment horizontal="center" vertical="center"/>
    </xf>
    <xf numFmtId="0" fontId="3" fillId="7" borderId="1" xfId="0" applyFont="1" applyFill="1" applyBorder="1" applyProtection="1">
      <alignment vertical="center"/>
    </xf>
    <xf numFmtId="0" fontId="3" fillId="7" borderId="2" xfId="0" applyFont="1" applyFill="1" applyBorder="1" applyProtection="1">
      <alignment vertical="center"/>
    </xf>
    <xf numFmtId="0" fontId="7" fillId="7" borderId="2" xfId="0" applyFont="1" applyFill="1" applyBorder="1" applyAlignment="1" applyProtection="1">
      <alignment horizontal="center" vertical="center"/>
    </xf>
    <xf numFmtId="0" fontId="9" fillId="0" borderId="6" xfId="0" applyFont="1" applyBorder="1" applyAlignment="1" applyProtection="1">
      <alignment horizontal="center" vertical="center"/>
    </xf>
    <xf numFmtId="0" fontId="10" fillId="2" borderId="2" xfId="0" applyFont="1" applyFill="1" applyBorder="1" applyAlignment="1" applyProtection="1">
      <alignment horizontal="left" vertical="center" wrapText="1"/>
    </xf>
    <xf numFmtId="0" fontId="9" fillId="3" borderId="1" xfId="0" applyFont="1" applyFill="1" applyBorder="1" applyAlignment="1" applyProtection="1">
      <alignment horizontal="left" vertical="center" wrapText="1"/>
    </xf>
    <xf numFmtId="0" fontId="9" fillId="3" borderId="2" xfId="0" applyFont="1" applyFill="1" applyBorder="1" applyAlignment="1" applyProtection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left" vertical="center" wrapText="1"/>
    </xf>
    <xf numFmtId="0" fontId="9" fillId="0" borderId="1" xfId="0" applyFont="1" applyBorder="1" applyAlignment="1" applyProtection="1">
      <alignment horizontal="left" vertical="center"/>
    </xf>
    <xf numFmtId="177" fontId="9" fillId="0" borderId="1" xfId="0" applyNumberFormat="1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left" vertical="center" wrapText="1"/>
    </xf>
    <xf numFmtId="0" fontId="8" fillId="8" borderId="8" xfId="0" applyFont="1" applyFill="1" applyBorder="1" applyAlignment="1" applyProtection="1">
      <alignment horizontal="center" vertical="center"/>
    </xf>
    <xf numFmtId="0" fontId="9" fillId="0" borderId="4" xfId="0" applyFont="1" applyBorder="1" applyAlignment="1" applyProtection="1">
      <alignment horizontal="left" vertical="center" wrapText="1"/>
    </xf>
    <xf numFmtId="0" fontId="7" fillId="0" borderId="7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8" borderId="8" xfId="0" applyFont="1" applyFill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horizontal="left" vertical="center"/>
    </xf>
    <xf numFmtId="0" fontId="7" fillId="8" borderId="1" xfId="0" applyFont="1" applyFill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176" fontId="6" fillId="9" borderId="2" xfId="0" applyNumberFormat="1" applyFont="1" applyFill="1" applyBorder="1" applyAlignment="1" applyProtection="1">
      <alignment horizontal="center" vertical="center"/>
    </xf>
    <xf numFmtId="176" fontId="9" fillId="3" borderId="2" xfId="0" applyNumberFormat="1" applyFont="1" applyFill="1" applyBorder="1" applyAlignment="1" applyProtection="1">
      <alignment horizontal="center" vertical="center" wrapText="1"/>
    </xf>
    <xf numFmtId="176" fontId="7" fillId="0" borderId="1" xfId="0" applyNumberFormat="1" applyFont="1" applyBorder="1" applyAlignment="1" applyProtection="1">
      <alignment horizontal="center" vertical="center"/>
    </xf>
    <xf numFmtId="176" fontId="9" fillId="0" borderId="1" xfId="0" applyNumberFormat="1" applyFont="1" applyBorder="1" applyAlignment="1" applyProtection="1">
      <alignment horizontal="center" vertical="center" wrapText="1"/>
    </xf>
    <xf numFmtId="176" fontId="8" fillId="0" borderId="1" xfId="0" applyNumberFormat="1" applyFont="1" applyBorder="1" applyAlignment="1" applyProtection="1">
      <alignment horizontal="center" vertical="center"/>
    </xf>
    <xf numFmtId="176" fontId="8" fillId="0" borderId="1" xfId="0" applyNumberFormat="1" applyFont="1" applyBorder="1" applyAlignment="1" applyProtection="1">
      <alignment horizontal="center" vertical="center" wrapText="1"/>
    </xf>
    <xf numFmtId="176" fontId="7" fillId="0" borderId="4" xfId="0" applyNumberFormat="1" applyFont="1" applyBorder="1" applyAlignment="1" applyProtection="1">
      <alignment horizontal="center" vertical="center"/>
    </xf>
    <xf numFmtId="176" fontId="7" fillId="0" borderId="2" xfId="0" applyNumberFormat="1" applyFont="1" applyBorder="1" applyAlignment="1" applyProtection="1">
      <alignment horizontal="center" vertical="center"/>
    </xf>
    <xf numFmtId="176" fontId="9" fillId="0" borderId="2" xfId="0" applyNumberFormat="1" applyFont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 wrapText="1"/>
    </xf>
    <xf numFmtId="0" fontId="7" fillId="0" borderId="1" xfId="0" applyFont="1" applyBorder="1" applyAlignment="1" applyProtection="1">
      <alignment horizontal="left" vertical="center" wrapText="1"/>
    </xf>
    <xf numFmtId="176" fontId="9" fillId="3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176" fontId="8" fillId="3" borderId="1" xfId="0" applyNumberFormat="1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left" vertical="center" wrapText="1"/>
    </xf>
    <xf numFmtId="0" fontId="7" fillId="0" borderId="2" xfId="0" applyFont="1" applyBorder="1" applyAlignment="1" applyProtection="1">
      <alignment horizontal="left" vertical="center" wrapText="1"/>
    </xf>
    <xf numFmtId="176" fontId="9" fillId="3" borderId="10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/>
    </xf>
    <xf numFmtId="0" fontId="6" fillId="0" borderId="0" xfId="0" applyFont="1" applyAlignment="1">
      <alignment horizontal="center" vertical="center"/>
    </xf>
    <xf numFmtId="0" fontId="11" fillId="7" borderId="1" xfId="0" applyFont="1" applyFill="1" applyBorder="1" applyProtection="1">
      <alignment vertical="center"/>
    </xf>
    <xf numFmtId="0" fontId="8" fillId="7" borderId="1" xfId="0" applyFont="1" applyFill="1" applyBorder="1" applyAlignment="1" applyProtection="1">
      <alignment horizontal="center" vertical="center"/>
    </xf>
    <xf numFmtId="178" fontId="9" fillId="7" borderId="1" xfId="0" applyNumberFormat="1" applyFont="1" applyFill="1" applyBorder="1" applyAlignment="1" applyProtection="1">
      <alignment horizontal="center" vertical="center"/>
    </xf>
    <xf numFmtId="177" fontId="9" fillId="7" borderId="1" xfId="0" applyNumberFormat="1" applyFont="1" applyFill="1" applyBorder="1" applyAlignment="1" applyProtection="1">
      <alignment horizontal="center" vertical="center" wrapText="1"/>
    </xf>
    <xf numFmtId="0" fontId="7" fillId="0" borderId="9" xfId="0" applyFont="1" applyBorder="1" applyAlignment="1" applyProtection="1">
      <alignment horizontal="right" vertical="center"/>
    </xf>
    <xf numFmtId="0" fontId="3" fillId="0" borderId="11" xfId="0" applyFont="1" applyBorder="1" applyAlignment="1" applyProtection="1">
      <alignment horizontal="right" vertical="center"/>
    </xf>
    <xf numFmtId="0" fontId="8" fillId="10" borderId="1" xfId="0" applyFont="1" applyFill="1" applyBorder="1" applyAlignment="1" applyProtection="1">
      <alignment horizontal="center" vertical="center"/>
    </xf>
    <xf numFmtId="178" fontId="9" fillId="0" borderId="1" xfId="0" applyNumberFormat="1" applyFont="1" applyBorder="1" applyAlignment="1" applyProtection="1">
      <alignment horizontal="left" vertical="center" wrapText="1"/>
    </xf>
    <xf numFmtId="0" fontId="7" fillId="8" borderId="2" xfId="0" applyFont="1" applyFill="1" applyBorder="1" applyAlignment="1" applyProtection="1">
      <alignment horizontal="center" vertical="center"/>
    </xf>
    <xf numFmtId="0" fontId="3" fillId="8" borderId="3" xfId="0" applyFont="1" applyFill="1" applyBorder="1" applyProtection="1">
      <alignment vertical="center"/>
    </xf>
    <xf numFmtId="0" fontId="3" fillId="8" borderId="4" xfId="0" applyFont="1" applyFill="1" applyBorder="1" applyProtection="1">
      <alignment vertical="center"/>
    </xf>
    <xf numFmtId="0" fontId="12" fillId="0" borderId="1" xfId="0" applyFont="1" applyBorder="1" applyAlignment="1" applyProtection="1">
      <alignment horizontal="left" vertical="center" wrapText="1"/>
    </xf>
    <xf numFmtId="176" fontId="7" fillId="0" borderId="1" xfId="0" applyNumberFormat="1" applyFont="1" applyBorder="1" applyProtection="1">
      <alignment vertical="center"/>
    </xf>
    <xf numFmtId="0" fontId="3" fillId="0" borderId="1" xfId="0" applyFont="1" applyBorder="1" applyProtection="1">
      <alignment vertical="center"/>
    </xf>
    <xf numFmtId="0" fontId="3" fillId="0" borderId="7" xfId="0" applyFont="1" applyBorder="1" applyAlignment="1" applyProtection="1">
      <alignment horizontal="right" vertical="center"/>
    </xf>
    <xf numFmtId="0" fontId="3" fillId="0" borderId="0" xfId="0" applyFont="1">
      <alignment vertical="center"/>
    </xf>
    <xf numFmtId="0" fontId="7" fillId="5" borderId="4" xfId="0" applyFont="1" applyFill="1" applyBorder="1" applyAlignment="1" applyProtection="1">
      <alignment horizontal="center" vertical="center"/>
    </xf>
    <xf numFmtId="176" fontId="8" fillId="0" borderId="1" xfId="0" applyNumberFormat="1" applyFont="1" applyBorder="1" applyAlignment="1" applyProtection="1">
      <alignment horizontal="left" vertical="center"/>
    </xf>
    <xf numFmtId="0" fontId="7" fillId="0" borderId="10" xfId="0" applyFont="1" applyBorder="1" applyAlignment="1" applyProtection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176" fontId="15" fillId="0" borderId="0" xfId="0" applyNumberFormat="1" applyFont="1" applyAlignment="1">
      <alignment horizontal="center" vertical="center" wrapText="1"/>
    </xf>
    <xf numFmtId="0" fontId="16" fillId="0" borderId="12" xfId="0" applyFont="1" applyBorder="1" applyAlignment="1" applyProtection="1">
      <alignment horizontal="center" vertical="center" wrapText="1"/>
    </xf>
    <xf numFmtId="0" fontId="17" fillId="0" borderId="12" xfId="0" applyFont="1" applyBorder="1" applyAlignment="1" applyProtection="1">
      <alignment horizontal="center" vertical="center"/>
    </xf>
    <xf numFmtId="0" fontId="17" fillId="0" borderId="12" xfId="0" applyFont="1" applyBorder="1" applyProtection="1">
      <alignment vertical="center"/>
    </xf>
    <xf numFmtId="0" fontId="13" fillId="0" borderId="12" xfId="0" applyFont="1" applyBorder="1" applyAlignment="1" applyProtection="1">
      <alignment horizontal="center" vertical="center" wrapText="1"/>
    </xf>
    <xf numFmtId="0" fontId="15" fillId="0" borderId="12" xfId="0" applyFont="1" applyBorder="1" applyAlignment="1" applyProtection="1">
      <alignment horizontal="center" vertical="center"/>
    </xf>
    <xf numFmtId="0" fontId="18" fillId="0" borderId="12" xfId="0" applyFont="1" applyBorder="1" applyAlignment="1" applyProtection="1">
      <alignment horizontal="left" vertical="center"/>
    </xf>
    <xf numFmtId="0" fontId="2" fillId="0" borderId="12" xfId="0" applyFont="1" applyFill="1" applyBorder="1" applyAlignment="1">
      <alignment horizontal="center" vertical="center" wrapText="1"/>
    </xf>
    <xf numFmtId="0" fontId="15" fillId="0" borderId="12" xfId="0" applyFont="1" applyBorder="1" applyAlignment="1" applyProtection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19" fillId="0" borderId="12" xfId="0" applyFont="1" applyBorder="1" applyAlignment="1" applyProtection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18" fillId="0" borderId="12" xfId="0" applyFont="1" applyBorder="1" applyAlignment="1" applyProtection="1">
      <alignment horizontal="center" vertical="center"/>
    </xf>
    <xf numFmtId="0" fontId="15" fillId="0" borderId="12" xfId="0" applyFont="1" applyBorder="1" applyAlignment="1" applyProtection="1">
      <alignment horizontal="left" vertical="center" wrapText="1"/>
    </xf>
    <xf numFmtId="0" fontId="15" fillId="0" borderId="12" xfId="0" applyFont="1" applyBorder="1" applyAlignment="1" applyProtection="1">
      <alignment vertical="center" wrapText="1"/>
    </xf>
    <xf numFmtId="0" fontId="18" fillId="0" borderId="12" xfId="0" applyFont="1" applyBorder="1" applyAlignment="1" applyProtection="1">
      <alignment horizontal="center" vertical="center" wrapText="1"/>
    </xf>
    <xf numFmtId="0" fontId="18" fillId="0" borderId="12" xfId="0" applyFont="1" applyBorder="1" applyAlignment="1" applyProtection="1">
      <alignment horizontal="left" vertical="center" wrapText="1"/>
    </xf>
    <xf numFmtId="176" fontId="13" fillId="0" borderId="12" xfId="0" applyNumberFormat="1" applyFont="1" applyBorder="1" applyAlignment="1" applyProtection="1">
      <alignment horizontal="center" vertical="center" wrapText="1"/>
    </xf>
    <xf numFmtId="176" fontId="15" fillId="0" borderId="12" xfId="0" applyNumberFormat="1" applyFont="1" applyBorder="1" applyAlignment="1" applyProtection="1">
      <alignment horizontal="center" vertical="center" wrapText="1"/>
    </xf>
    <xf numFmtId="176" fontId="15" fillId="0" borderId="12" xfId="0" applyNumberFormat="1" applyFont="1" applyBorder="1" applyAlignment="1" applyProtection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0" fillId="0" borderId="12" xfId="0" applyFont="1" applyBorder="1" applyAlignment="1" applyProtection="1">
      <alignment horizontal="left" vertical="center" wrapText="1"/>
    </xf>
    <xf numFmtId="176" fontId="18" fillId="0" borderId="1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813D1A"/>
      </font>
      <fill>
        <patternFill patternType="solid">
          <bgColor rgb="FFFCE3A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35"/>
  <sheetViews>
    <sheetView tabSelected="1" zoomScale="78" zoomScaleNormal="78" workbookViewId="0">
      <selection activeCell="J6" sqref="J6"/>
    </sheetView>
  </sheetViews>
  <sheetFormatPr defaultColWidth="10" defaultRowHeight="16.5" customHeight="1"/>
  <cols>
    <col min="1" max="1" width="6.16666666666667" style="114" customWidth="1"/>
    <col min="2" max="2" width="24.75" style="114" customWidth="1"/>
    <col min="3" max="3" width="9.84166666666667" style="114" customWidth="1"/>
    <col min="4" max="4" width="7.5" style="114" customWidth="1"/>
    <col min="5" max="5" width="82.8583333333333" style="115" customWidth="1"/>
    <col min="6" max="6" width="7.33333333333333" style="114" customWidth="1"/>
    <col min="7" max="7" width="22.5333333333333" style="114" customWidth="1"/>
    <col min="8" max="8" width="13" style="116" customWidth="1"/>
    <col min="9" max="9" width="13.9833333333333" style="116" customWidth="1"/>
    <col min="10" max="10" width="21.1083333333333" style="114" customWidth="1"/>
    <col min="11" max="31" width="8.83333333333333" style="114" customWidth="1"/>
  </cols>
  <sheetData>
    <row r="1" s="112" customFormat="1" ht="38.85" customHeight="1" spans="1:10">
      <c r="A1" s="117" t="s">
        <v>0</v>
      </c>
      <c r="B1" s="118"/>
      <c r="C1" s="119"/>
      <c r="D1" s="119"/>
      <c r="E1" s="119"/>
      <c r="F1" s="119"/>
      <c r="G1" s="119"/>
      <c r="H1" s="119"/>
      <c r="I1" s="119"/>
      <c r="J1" s="119"/>
    </row>
    <row r="2" s="112" customFormat="1" ht="27.1" customHeight="1" spans="1:10">
      <c r="A2" s="120" t="s">
        <v>1</v>
      </c>
      <c r="B2" s="120" t="s">
        <v>2</v>
      </c>
      <c r="C2" s="120" t="s">
        <v>3</v>
      </c>
      <c r="D2" s="120" t="s">
        <v>4</v>
      </c>
      <c r="E2" s="133" t="s">
        <v>5</v>
      </c>
      <c r="F2" s="120" t="s">
        <v>6</v>
      </c>
      <c r="G2" s="120" t="s">
        <v>7</v>
      </c>
      <c r="H2" s="135" t="s">
        <v>8</v>
      </c>
      <c r="I2" s="135" t="s">
        <v>9</v>
      </c>
      <c r="J2" s="120" t="s">
        <v>10</v>
      </c>
    </row>
    <row r="3" s="113" customFormat="1" ht="26.2" customHeight="1" spans="1:31">
      <c r="A3" s="121" t="s">
        <v>11</v>
      </c>
      <c r="B3" s="122" t="s">
        <v>12</v>
      </c>
      <c r="C3" s="122"/>
      <c r="D3" s="122"/>
      <c r="E3" s="122"/>
      <c r="F3" s="122"/>
      <c r="G3" s="122"/>
      <c r="H3" s="122"/>
      <c r="I3" s="122"/>
      <c r="J3" s="122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</row>
    <row r="4" s="113" customFormat="1" ht="46.45" customHeight="1" spans="1:31">
      <c r="A4" s="121">
        <v>1</v>
      </c>
      <c r="B4" s="123" t="s">
        <v>13</v>
      </c>
      <c r="C4" s="121">
        <v>1</v>
      </c>
      <c r="D4" s="121" t="s">
        <v>14</v>
      </c>
      <c r="E4" s="131" t="s">
        <v>15</v>
      </c>
      <c r="F4" s="124" t="s">
        <v>16</v>
      </c>
      <c r="G4" s="124" t="s">
        <v>17</v>
      </c>
      <c r="H4" s="136">
        <v>60000</v>
      </c>
      <c r="I4" s="136">
        <f>H4*C4</f>
        <v>60000</v>
      </c>
      <c r="J4" s="122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</row>
    <row r="5" s="113" customFormat="1" ht="37.4" customHeight="1" spans="1:31">
      <c r="A5" s="121">
        <v>2</v>
      </c>
      <c r="B5" s="123" t="s">
        <v>18</v>
      </c>
      <c r="C5" s="124">
        <v>10000</v>
      </c>
      <c r="D5" s="121" t="s">
        <v>19</v>
      </c>
      <c r="E5" s="131" t="s">
        <v>20</v>
      </c>
      <c r="F5" s="124" t="s">
        <v>16</v>
      </c>
      <c r="G5" s="124" t="s">
        <v>17</v>
      </c>
      <c r="H5" s="136">
        <v>25</v>
      </c>
      <c r="I5" s="136">
        <f>H5*C5</f>
        <v>250000</v>
      </c>
      <c r="J5" s="136" t="s">
        <v>21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</row>
    <row r="6" s="113" customFormat="1" ht="33.55" customHeight="1" spans="1:31">
      <c r="A6" s="121">
        <v>3</v>
      </c>
      <c r="B6" s="123" t="s">
        <v>22</v>
      </c>
      <c r="C6" s="124">
        <v>1</v>
      </c>
      <c r="D6" s="124" t="s">
        <v>14</v>
      </c>
      <c r="E6" s="137" t="s">
        <v>23</v>
      </c>
      <c r="F6" s="124" t="s">
        <v>16</v>
      </c>
      <c r="G6" s="124" t="s">
        <v>17</v>
      </c>
      <c r="H6" s="136">
        <v>80000</v>
      </c>
      <c r="I6" s="136">
        <f>H6*C6</f>
        <v>80000</v>
      </c>
      <c r="J6" s="12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</row>
    <row r="7" s="113" customFormat="1" ht="33.55" customHeight="1" spans="1:31">
      <c r="A7" s="121">
        <v>4</v>
      </c>
      <c r="B7" s="125" t="s">
        <v>24</v>
      </c>
      <c r="C7" s="124">
        <v>40</v>
      </c>
      <c r="D7" s="121" t="s">
        <v>14</v>
      </c>
      <c r="E7" s="137" t="s">
        <v>25</v>
      </c>
      <c r="F7" s="124" t="s">
        <v>16</v>
      </c>
      <c r="G7" s="124" t="s">
        <v>17</v>
      </c>
      <c r="H7" s="136">
        <v>11000</v>
      </c>
      <c r="I7" s="136">
        <f>H7*C7</f>
        <v>440000</v>
      </c>
      <c r="J7" s="12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</row>
    <row r="8" s="113" customFormat="1" ht="33.55" customHeight="1" spans="1:31">
      <c r="A8" s="121"/>
      <c r="B8" s="126"/>
      <c r="C8" s="124">
        <v>20</v>
      </c>
      <c r="D8" s="121" t="s">
        <v>14</v>
      </c>
      <c r="E8" s="137" t="s">
        <v>26</v>
      </c>
      <c r="F8" s="124" t="s">
        <v>16</v>
      </c>
      <c r="G8" s="124" t="s">
        <v>17</v>
      </c>
      <c r="H8" s="136">
        <v>3000</v>
      </c>
      <c r="I8" s="136">
        <f>H8*C8</f>
        <v>60000</v>
      </c>
      <c r="J8" s="12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</row>
    <row r="9" s="113" customFormat="1" ht="33.55" customHeight="1" spans="1:31">
      <c r="A9" s="127"/>
      <c r="B9" s="128"/>
      <c r="C9" s="124">
        <v>10</v>
      </c>
      <c r="D9" s="124" t="s">
        <v>14</v>
      </c>
      <c r="E9" s="137" t="s">
        <v>27</v>
      </c>
      <c r="F9" s="124" t="s">
        <v>16</v>
      </c>
      <c r="G9" s="124" t="s">
        <v>17</v>
      </c>
      <c r="H9" s="136">
        <v>20000</v>
      </c>
      <c r="I9" s="136">
        <f>H9*C9</f>
        <v>200000</v>
      </c>
      <c r="J9" s="12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</row>
    <row r="10" s="113" customFormat="1" ht="33.55" customHeight="1" spans="1:31">
      <c r="A10" s="127">
        <v>5</v>
      </c>
      <c r="B10" s="123" t="s">
        <v>28</v>
      </c>
      <c r="C10" s="124">
        <v>1</v>
      </c>
      <c r="D10" s="121" t="s">
        <v>14</v>
      </c>
      <c r="E10" s="138" t="s">
        <v>29</v>
      </c>
      <c r="F10" s="124"/>
      <c r="G10" s="124"/>
      <c r="H10" s="136">
        <v>268000</v>
      </c>
      <c r="I10" s="136">
        <f>H10*C10</f>
        <v>268000</v>
      </c>
      <c r="J10" s="12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</row>
    <row r="11" s="113" customFormat="1" ht="33.55" customHeight="1" spans="1:31">
      <c r="A11" s="127">
        <v>6</v>
      </c>
      <c r="B11" s="123" t="s">
        <v>30</v>
      </c>
      <c r="C11" s="124">
        <v>1</v>
      </c>
      <c r="D11" s="121" t="s">
        <v>14</v>
      </c>
      <c r="E11" s="138" t="s">
        <v>29</v>
      </c>
      <c r="F11" s="124"/>
      <c r="G11" s="124"/>
      <c r="H11" s="136">
        <v>93000</v>
      </c>
      <c r="I11" s="136">
        <f>H11*C11</f>
        <v>93000</v>
      </c>
      <c r="J11" s="12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 s="113" customFormat="1" ht="28.3" customHeight="1" spans="1:31">
      <c r="A12" s="121">
        <v>4</v>
      </c>
      <c r="B12" s="124" t="s">
        <v>31</v>
      </c>
      <c r="C12" s="124"/>
      <c r="D12" s="124"/>
      <c r="E12" s="131"/>
      <c r="F12" s="124"/>
      <c r="G12" s="124"/>
      <c r="H12" s="124"/>
      <c r="I12" s="136">
        <f>SUM(I4:I11)</f>
        <v>1451000</v>
      </c>
      <c r="J12" s="12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</row>
    <row r="13" s="113" customFormat="1" ht="28.3" customHeight="1" spans="1:31">
      <c r="A13" s="121" t="s">
        <v>32</v>
      </c>
      <c r="B13" s="122" t="s">
        <v>33</v>
      </c>
      <c r="C13" s="122"/>
      <c r="D13" s="122"/>
      <c r="E13" s="122"/>
      <c r="F13" s="122"/>
      <c r="G13" s="122"/>
      <c r="H13" s="122"/>
      <c r="I13" s="122"/>
      <c r="J13" s="122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 s="113" customFormat="1" ht="39" customHeight="1" spans="1:31">
      <c r="A14" s="124">
        <v>1</v>
      </c>
      <c r="B14" s="123" t="s">
        <v>34</v>
      </c>
      <c r="C14" s="124">
        <v>70</v>
      </c>
      <c r="D14" s="124" t="s">
        <v>14</v>
      </c>
      <c r="E14" s="131" t="s">
        <v>35</v>
      </c>
      <c r="F14" s="124" t="s">
        <v>16</v>
      </c>
      <c r="G14" s="124" t="s">
        <v>36</v>
      </c>
      <c r="H14" s="136">
        <v>5000</v>
      </c>
      <c r="I14" s="136">
        <f>H14*C14</f>
        <v>350000</v>
      </c>
      <c r="J14" s="12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</row>
    <row r="15" s="113" customFormat="1" ht="31" customHeight="1" spans="1:31">
      <c r="A15" s="124"/>
      <c r="B15" s="123" t="s">
        <v>37</v>
      </c>
      <c r="C15" s="129">
        <v>4</v>
      </c>
      <c r="D15" s="129" t="s">
        <v>14</v>
      </c>
      <c r="E15" s="139" t="s">
        <v>38</v>
      </c>
      <c r="F15" s="124"/>
      <c r="G15" s="124"/>
      <c r="H15" s="136">
        <v>15800</v>
      </c>
      <c r="I15" s="136">
        <f>H15*C15</f>
        <v>63200</v>
      </c>
      <c r="J15" s="12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 s="113" customFormat="1" ht="34" customHeight="1" spans="1:31">
      <c r="A16" s="124"/>
      <c r="B16" s="123" t="s">
        <v>39</v>
      </c>
      <c r="C16" s="123">
        <v>1</v>
      </c>
      <c r="D16" s="123" t="s">
        <v>14</v>
      </c>
      <c r="E16" s="138" t="s">
        <v>40</v>
      </c>
      <c r="F16" s="124"/>
      <c r="G16" s="124"/>
      <c r="H16" s="136">
        <v>104000</v>
      </c>
      <c r="I16" s="136">
        <f t="shared" ref="I16:I23" si="0">H16*C16</f>
        <v>104000</v>
      </c>
      <c r="J16" s="12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 s="113" customFormat="1" ht="40" customHeight="1" spans="1:31">
      <c r="A17" s="124"/>
      <c r="B17" s="123" t="s">
        <v>41</v>
      </c>
      <c r="C17" s="123">
        <v>10</v>
      </c>
      <c r="D17" s="123" t="s">
        <v>14</v>
      </c>
      <c r="E17" s="138" t="s">
        <v>42</v>
      </c>
      <c r="F17" s="124"/>
      <c r="G17" s="124"/>
      <c r="H17" s="136">
        <v>1800</v>
      </c>
      <c r="I17" s="136">
        <f t="shared" si="0"/>
        <v>18000</v>
      </c>
      <c r="J17" s="12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 s="113" customFormat="1" ht="36" customHeight="1" spans="1:31">
      <c r="A18" s="124"/>
      <c r="B18" s="123" t="s">
        <v>43</v>
      </c>
      <c r="C18" s="123">
        <v>1</v>
      </c>
      <c r="D18" s="123" t="s">
        <v>14</v>
      </c>
      <c r="E18" s="140" t="s">
        <v>44</v>
      </c>
      <c r="F18" s="124"/>
      <c r="G18" s="124"/>
      <c r="H18" s="136">
        <v>2300</v>
      </c>
      <c r="I18" s="136">
        <f t="shared" si="0"/>
        <v>2300</v>
      </c>
      <c r="J18" s="12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 s="113" customFormat="1" ht="49" customHeight="1" spans="1:31">
      <c r="A19" s="124"/>
      <c r="B19" s="123" t="s">
        <v>45</v>
      </c>
      <c r="C19" s="123">
        <v>1</v>
      </c>
      <c r="D19" s="123" t="s">
        <v>46</v>
      </c>
      <c r="E19" s="138" t="s">
        <v>47</v>
      </c>
      <c r="F19" s="124"/>
      <c r="G19" s="124"/>
      <c r="H19" s="136">
        <v>2800</v>
      </c>
      <c r="I19" s="136">
        <f t="shared" si="0"/>
        <v>2800</v>
      </c>
      <c r="J19" s="12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</row>
    <row r="20" s="113" customFormat="1" ht="53" customHeight="1" spans="1:31">
      <c r="A20" s="124"/>
      <c r="B20" s="123" t="s">
        <v>48</v>
      </c>
      <c r="C20" s="123">
        <v>6</v>
      </c>
      <c r="D20" s="123" t="s">
        <v>46</v>
      </c>
      <c r="E20" s="138" t="s">
        <v>49</v>
      </c>
      <c r="F20" s="124"/>
      <c r="G20" s="124"/>
      <c r="H20" s="136">
        <v>850</v>
      </c>
      <c r="I20" s="136">
        <f t="shared" si="0"/>
        <v>5100</v>
      </c>
      <c r="J20" s="12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 s="113" customFormat="1" ht="44" customHeight="1" spans="1:31">
      <c r="A21" s="124"/>
      <c r="B21" s="123" t="s">
        <v>50</v>
      </c>
      <c r="C21" s="123">
        <v>6</v>
      </c>
      <c r="D21" s="123" t="s">
        <v>46</v>
      </c>
      <c r="E21" s="138" t="s">
        <v>49</v>
      </c>
      <c r="F21" s="124"/>
      <c r="G21" s="124"/>
      <c r="H21" s="136">
        <v>850</v>
      </c>
      <c r="I21" s="136">
        <f t="shared" si="0"/>
        <v>5100</v>
      </c>
      <c r="J21" s="12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 s="113" customFormat="1" ht="44" customHeight="1" spans="1:31">
      <c r="A22" s="124"/>
      <c r="B22" s="123" t="s">
        <v>51</v>
      </c>
      <c r="C22" s="123">
        <v>2</v>
      </c>
      <c r="D22" s="123" t="s">
        <v>46</v>
      </c>
      <c r="E22" s="138" t="s">
        <v>52</v>
      </c>
      <c r="F22" s="124"/>
      <c r="G22" s="124"/>
      <c r="H22" s="136">
        <v>6000</v>
      </c>
      <c r="I22" s="136">
        <f t="shared" si="0"/>
        <v>12000</v>
      </c>
      <c r="J22" s="12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</row>
    <row r="23" s="113" customFormat="1" ht="44" customHeight="1" spans="1:31">
      <c r="A23" s="124"/>
      <c r="B23" s="123" t="s">
        <v>53</v>
      </c>
      <c r="C23" s="123">
        <v>17</v>
      </c>
      <c r="D23" s="123" t="s">
        <v>46</v>
      </c>
      <c r="E23" s="138" t="s">
        <v>54</v>
      </c>
      <c r="F23" s="124"/>
      <c r="G23" s="124"/>
      <c r="H23" s="136">
        <v>550</v>
      </c>
      <c r="I23" s="136">
        <f t="shared" si="0"/>
        <v>9350</v>
      </c>
      <c r="J23" s="12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</row>
    <row r="24" s="113" customFormat="1" ht="29.35" customHeight="1" spans="1:31">
      <c r="A24" s="124">
        <v>3</v>
      </c>
      <c r="B24" s="124" t="s">
        <v>31</v>
      </c>
      <c r="C24" s="124"/>
      <c r="D24" s="124"/>
      <c r="E24" s="131"/>
      <c r="F24" s="124"/>
      <c r="G24" s="124"/>
      <c r="H24" s="124"/>
      <c r="I24" s="136">
        <f>SUM(I14:I23)</f>
        <v>571850</v>
      </c>
      <c r="J24" s="12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</row>
    <row r="25" s="113" customFormat="1" ht="29.35" customHeight="1" spans="1:31">
      <c r="A25" s="130" t="s">
        <v>55</v>
      </c>
      <c r="B25" s="122" t="s">
        <v>56</v>
      </c>
      <c r="C25" s="122"/>
      <c r="D25" s="122"/>
      <c r="E25" s="122"/>
      <c r="F25" s="122"/>
      <c r="G25" s="122"/>
      <c r="H25" s="122"/>
      <c r="I25" s="122"/>
      <c r="J25" s="122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</row>
    <row r="26" s="113" customFormat="1" ht="29.35" customHeight="1" spans="1:31">
      <c r="A26" s="130">
        <v>1</v>
      </c>
      <c r="B26" s="124" t="s">
        <v>57</v>
      </c>
      <c r="C26" s="124">
        <v>90</v>
      </c>
      <c r="D26" s="130" t="s">
        <v>58</v>
      </c>
      <c r="E26" s="122" t="s">
        <v>59</v>
      </c>
      <c r="F26" s="124" t="s">
        <v>60</v>
      </c>
      <c r="G26" s="124" t="s">
        <v>60</v>
      </c>
      <c r="H26" s="136">
        <v>2500</v>
      </c>
      <c r="I26" s="136">
        <f>H26*C26</f>
        <v>225000</v>
      </c>
      <c r="J26" s="122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</row>
    <row r="27" s="113" customFormat="1" ht="29.35" customHeight="1" spans="1:31">
      <c r="A27" s="124">
        <v>2</v>
      </c>
      <c r="B27" s="124" t="s">
        <v>61</v>
      </c>
      <c r="C27" s="124">
        <v>60</v>
      </c>
      <c r="D27" s="124" t="s">
        <v>58</v>
      </c>
      <c r="E27" s="141" t="s">
        <v>62</v>
      </c>
      <c r="F27" s="124" t="s">
        <v>60</v>
      </c>
      <c r="G27" s="124" t="s">
        <v>60</v>
      </c>
      <c r="H27" s="136">
        <v>2500</v>
      </c>
      <c r="I27" s="136">
        <f>H27*C27</f>
        <v>150000</v>
      </c>
      <c r="J27" s="12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</row>
    <row r="28" s="113" customFormat="1" ht="29.35" customHeight="1" spans="1:31">
      <c r="A28" s="124">
        <v>3</v>
      </c>
      <c r="B28" s="124" t="s">
        <v>63</v>
      </c>
      <c r="C28" s="124">
        <v>100</v>
      </c>
      <c r="D28" s="124" t="s">
        <v>58</v>
      </c>
      <c r="E28" s="141" t="s">
        <v>64</v>
      </c>
      <c r="F28" s="124" t="s">
        <v>60</v>
      </c>
      <c r="G28" s="124" t="s">
        <v>60</v>
      </c>
      <c r="H28" s="136">
        <v>2500</v>
      </c>
      <c r="I28" s="136">
        <f>C28*H28</f>
        <v>250000</v>
      </c>
      <c r="J28" s="12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</row>
    <row r="29" s="113" customFormat="1" ht="29.35" customHeight="1" spans="1:31">
      <c r="A29" s="124">
        <v>4</v>
      </c>
      <c r="B29" s="124" t="s">
        <v>65</v>
      </c>
      <c r="C29" s="124">
        <v>1</v>
      </c>
      <c r="D29" s="124" t="s">
        <v>66</v>
      </c>
      <c r="E29" s="141"/>
      <c r="F29" s="124" t="s">
        <v>60</v>
      </c>
      <c r="G29" s="124" t="s">
        <v>60</v>
      </c>
      <c r="H29" s="136">
        <v>418000</v>
      </c>
      <c r="I29" s="136">
        <f>H29*C29</f>
        <v>418000</v>
      </c>
      <c r="J29" s="12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</row>
    <row r="30" s="113" customFormat="1" ht="29.35" customHeight="1" spans="1:31">
      <c r="A30" s="124">
        <v>5</v>
      </c>
      <c r="B30" s="124" t="s">
        <v>67</v>
      </c>
      <c r="C30" s="124">
        <v>1</v>
      </c>
      <c r="D30" s="124" t="s">
        <v>66</v>
      </c>
      <c r="E30" s="141"/>
      <c r="F30" s="124" t="s">
        <v>60</v>
      </c>
      <c r="G30" s="124" t="s">
        <v>60</v>
      </c>
      <c r="H30" s="136">
        <v>58000</v>
      </c>
      <c r="I30" s="136">
        <f>H30*C29</f>
        <v>58000</v>
      </c>
      <c r="J30" s="12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</row>
    <row r="31" s="113" customFormat="1" ht="29.35" customHeight="1" spans="1:31">
      <c r="A31" s="124">
        <v>2</v>
      </c>
      <c r="B31" s="124" t="s">
        <v>31</v>
      </c>
      <c r="C31" s="131"/>
      <c r="D31" s="131"/>
      <c r="E31" s="131"/>
      <c r="F31" s="131"/>
      <c r="G31" s="131"/>
      <c r="H31" s="131"/>
      <c r="I31" s="136">
        <f>SUM(I26:I30)</f>
        <v>1101000</v>
      </c>
      <c r="J31" s="12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</row>
    <row r="32" s="113" customFormat="1" ht="29.35" customHeight="1" spans="1:31">
      <c r="A32" s="130" t="s">
        <v>68</v>
      </c>
      <c r="B32" s="122" t="s">
        <v>69</v>
      </c>
      <c r="C32" s="122"/>
      <c r="D32" s="122"/>
      <c r="E32" s="122"/>
      <c r="F32" s="122"/>
      <c r="G32" s="122"/>
      <c r="H32" s="122"/>
      <c r="I32" s="122"/>
      <c r="J32" s="122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</row>
    <row r="33" s="113" customFormat="1" ht="29.35" customHeight="1" spans="1:31">
      <c r="A33" s="124">
        <v>1</v>
      </c>
      <c r="B33" s="124" t="s">
        <v>70</v>
      </c>
      <c r="C33" s="124">
        <v>1</v>
      </c>
      <c r="D33" s="124" t="s">
        <v>66</v>
      </c>
      <c r="E33" s="141" t="s">
        <v>71</v>
      </c>
      <c r="F33" s="124"/>
      <c r="G33" s="124"/>
      <c r="H33" s="136"/>
      <c r="I33" s="136">
        <f>I31*6%+(I12+I24)*13%</f>
        <v>329030.5</v>
      </c>
      <c r="J33" s="12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</row>
    <row r="34" s="113" customFormat="1" ht="29.35" customHeight="1" spans="1:31">
      <c r="A34" s="124">
        <v>2</v>
      </c>
      <c r="B34" s="124" t="s">
        <v>31</v>
      </c>
      <c r="C34" s="132"/>
      <c r="D34" s="132"/>
      <c r="E34" s="132"/>
      <c r="F34" s="132"/>
      <c r="G34" s="132"/>
      <c r="H34" s="132"/>
      <c r="I34" s="136"/>
      <c r="J34" s="12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</row>
    <row r="35" s="113" customFormat="1" ht="29.35" customHeight="1" spans="1:31">
      <c r="A35" s="124"/>
      <c r="B35" s="133" t="s">
        <v>72</v>
      </c>
      <c r="C35" s="134"/>
      <c r="D35" s="134"/>
      <c r="E35" s="134"/>
      <c r="F35" s="134"/>
      <c r="G35" s="134"/>
      <c r="H35" s="134"/>
      <c r="I35" s="142">
        <f>I33+I31+I24+I12</f>
        <v>3452880.5</v>
      </c>
      <c r="J35" s="12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</row>
  </sheetData>
  <mergeCells count="11">
    <mergeCell ref="A1:J1"/>
    <mergeCell ref="B3:J3"/>
    <mergeCell ref="C12:H12"/>
    <mergeCell ref="B13:J13"/>
    <mergeCell ref="C24:H24"/>
    <mergeCell ref="B25:J25"/>
    <mergeCell ref="B31:H31"/>
    <mergeCell ref="B32:J32"/>
    <mergeCell ref="B35:H35"/>
    <mergeCell ref="A7:A9"/>
    <mergeCell ref="B7:B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J18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6.5" customHeight="1"/>
  <cols>
    <col min="1" max="1" width="13.375" customWidth="1"/>
    <col min="2" max="2" width="15.0916666666667" style="14" customWidth="1"/>
    <col min="3" max="3" width="25.675" style="15" customWidth="1"/>
    <col min="4" max="4" width="10" style="16"/>
    <col min="5" max="5" width="78.8" style="17" customWidth="1"/>
    <col min="6" max="7" width="8.39166666666667" style="15" customWidth="1"/>
    <col min="8" max="8" width="15.1583333333333" style="15" customWidth="1"/>
    <col min="9" max="9" width="15.925" style="15" customWidth="1"/>
    <col min="10" max="12" width="15.925" style="18" customWidth="1"/>
    <col min="13" max="13" width="19.5166666666667" style="15" customWidth="1"/>
    <col min="14" max="14" width="22.625" style="15" customWidth="1"/>
    <col min="15" max="15" width="21.9583333333333" style="15" customWidth="1"/>
    <col min="16" max="16" width="63.4666666666667" style="19" customWidth="1"/>
  </cols>
  <sheetData>
    <row r="1" s="11" customFormat="1" ht="29.25" customHeight="1" spans="1:36">
      <c r="A1" s="20" t="s">
        <v>2</v>
      </c>
      <c r="B1" s="21" t="s">
        <v>73</v>
      </c>
      <c r="C1" s="22" t="s">
        <v>74</v>
      </c>
      <c r="D1" s="23" t="s">
        <v>75</v>
      </c>
      <c r="E1" s="53" t="s">
        <v>76</v>
      </c>
      <c r="F1" s="22" t="s">
        <v>3</v>
      </c>
      <c r="G1" s="21" t="s">
        <v>4</v>
      </c>
      <c r="H1" s="21" t="s">
        <v>77</v>
      </c>
      <c r="I1" s="21" t="s">
        <v>78</v>
      </c>
      <c r="J1" s="73" t="s">
        <v>79</v>
      </c>
      <c r="K1" s="73" t="s">
        <v>80</v>
      </c>
      <c r="L1" s="73" t="s">
        <v>81</v>
      </c>
      <c r="M1" s="21" t="s">
        <v>82</v>
      </c>
      <c r="N1" s="21" t="s">
        <v>83</v>
      </c>
      <c r="O1" s="21" t="s">
        <v>84</v>
      </c>
      <c r="P1" s="82" t="s">
        <v>85</v>
      </c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</row>
    <row r="2" s="12" customFormat="1" ht="36" customHeight="1" spans="1:16">
      <c r="A2" s="24" t="s">
        <v>13</v>
      </c>
      <c r="B2" s="24" t="s">
        <v>86</v>
      </c>
      <c r="C2" s="25" t="s">
        <v>87</v>
      </c>
      <c r="D2" s="26" t="s">
        <v>88</v>
      </c>
      <c r="E2" s="54" t="s">
        <v>89</v>
      </c>
      <c r="F2" s="55">
        <v>1</v>
      </c>
      <c r="G2" s="55" t="s">
        <v>14</v>
      </c>
      <c r="H2" s="56">
        <v>0</v>
      </c>
      <c r="I2" s="56">
        <f>H2*2000</f>
        <v>0</v>
      </c>
      <c r="J2" s="74">
        <v>60000</v>
      </c>
      <c r="K2" s="74">
        <f>J2*0.7</f>
        <v>42000</v>
      </c>
      <c r="L2" s="74">
        <f>J2*0.6</f>
        <v>36000</v>
      </c>
      <c r="M2" s="74">
        <f>F2*J2</f>
        <v>60000</v>
      </c>
      <c r="N2" s="74">
        <f>K2*F2</f>
        <v>42000</v>
      </c>
      <c r="O2" s="74">
        <f>L2*F2</f>
        <v>36000</v>
      </c>
      <c r="P2" s="83"/>
    </row>
    <row r="3" ht="34.9" customHeight="1" spans="1:16">
      <c r="A3" s="27" t="s">
        <v>90</v>
      </c>
      <c r="B3" s="25" t="s">
        <v>91</v>
      </c>
      <c r="C3" s="25" t="s">
        <v>92</v>
      </c>
      <c r="D3" s="28" t="s">
        <v>88</v>
      </c>
      <c r="E3" s="57" t="s">
        <v>93</v>
      </c>
      <c r="F3" s="4"/>
      <c r="G3" s="4"/>
      <c r="H3" s="4"/>
      <c r="I3" s="4"/>
      <c r="J3" s="4"/>
      <c r="K3" s="4"/>
      <c r="L3" s="4"/>
      <c r="M3" s="4"/>
      <c r="N3" s="4"/>
      <c r="O3" s="4"/>
      <c r="P3" s="84"/>
    </row>
    <row r="4" ht="34.9" customHeight="1" spans="1:16">
      <c r="A4" s="29"/>
      <c r="B4" s="25"/>
      <c r="C4" s="25" t="s">
        <v>94</v>
      </c>
      <c r="D4" s="28" t="s">
        <v>88</v>
      </c>
      <c r="E4" s="57" t="s">
        <v>95</v>
      </c>
      <c r="F4" s="4"/>
      <c r="G4" s="4"/>
      <c r="H4" s="4"/>
      <c r="I4" s="4"/>
      <c r="J4" s="4"/>
      <c r="K4" s="4"/>
      <c r="L4" s="4"/>
      <c r="M4" s="4"/>
      <c r="N4" s="4"/>
      <c r="O4" s="4"/>
      <c r="P4" s="84"/>
    </row>
    <row r="5" ht="34.9" customHeight="1" spans="1:16">
      <c r="A5" s="29"/>
      <c r="B5" s="25"/>
      <c r="C5" s="25" t="s">
        <v>96</v>
      </c>
      <c r="D5" s="28" t="s">
        <v>88</v>
      </c>
      <c r="E5" s="57" t="s">
        <v>97</v>
      </c>
      <c r="F5" s="4"/>
      <c r="G5" s="4"/>
      <c r="H5" s="4"/>
      <c r="I5" s="4"/>
      <c r="J5" s="4"/>
      <c r="K5" s="4"/>
      <c r="L5" s="4"/>
      <c r="M5" s="4"/>
      <c r="N5" s="4"/>
      <c r="O5" s="4"/>
      <c r="P5" s="84"/>
    </row>
    <row r="6" ht="34.9" customHeight="1" spans="1:16">
      <c r="A6" s="29"/>
      <c r="B6" s="25"/>
      <c r="C6" s="25" t="s">
        <v>98</v>
      </c>
      <c r="D6" s="28" t="s">
        <v>88</v>
      </c>
      <c r="E6" s="57" t="s">
        <v>99</v>
      </c>
      <c r="F6" s="4"/>
      <c r="G6" s="4"/>
      <c r="H6" s="4"/>
      <c r="I6" s="4"/>
      <c r="J6" s="4"/>
      <c r="K6" s="4"/>
      <c r="L6" s="4"/>
      <c r="M6" s="4"/>
      <c r="N6" s="4"/>
      <c r="O6" s="4"/>
      <c r="P6" s="84"/>
    </row>
    <row r="7" ht="34.9" customHeight="1" spans="1:16">
      <c r="A7" s="29"/>
      <c r="B7" s="25" t="s">
        <v>100</v>
      </c>
      <c r="C7" s="25" t="s">
        <v>101</v>
      </c>
      <c r="D7" s="28" t="s">
        <v>88</v>
      </c>
      <c r="E7" s="57" t="s">
        <v>102</v>
      </c>
      <c r="F7" s="4"/>
      <c r="G7" s="4"/>
      <c r="H7" s="4"/>
      <c r="I7" s="4"/>
      <c r="J7" s="4"/>
      <c r="K7" s="4"/>
      <c r="L7" s="4"/>
      <c r="M7" s="4"/>
      <c r="N7" s="4"/>
      <c r="O7" s="4"/>
      <c r="P7" s="84"/>
    </row>
    <row r="8" ht="34.9" customHeight="1" spans="1:16">
      <c r="A8" s="29"/>
      <c r="B8" s="29"/>
      <c r="C8" s="25" t="s">
        <v>103</v>
      </c>
      <c r="D8" s="28" t="s">
        <v>88</v>
      </c>
      <c r="E8" s="57" t="s">
        <v>104</v>
      </c>
      <c r="F8" s="4"/>
      <c r="G8" s="4"/>
      <c r="H8" s="4"/>
      <c r="I8" s="4"/>
      <c r="J8" s="4"/>
      <c r="K8" s="4"/>
      <c r="L8" s="4"/>
      <c r="M8" s="4"/>
      <c r="N8" s="4"/>
      <c r="O8" s="4"/>
      <c r="P8" s="84"/>
    </row>
    <row r="9" ht="34.9" customHeight="1" spans="1:16">
      <c r="A9" s="29"/>
      <c r="B9" s="29"/>
      <c r="C9" s="25" t="s">
        <v>105</v>
      </c>
      <c r="D9" s="28" t="s">
        <v>88</v>
      </c>
      <c r="E9" s="57" t="s">
        <v>106</v>
      </c>
      <c r="F9" s="4"/>
      <c r="G9" s="4"/>
      <c r="H9" s="4"/>
      <c r="I9" s="4"/>
      <c r="J9" s="4"/>
      <c r="K9" s="4"/>
      <c r="L9" s="4"/>
      <c r="M9" s="4"/>
      <c r="N9" s="4"/>
      <c r="O9" s="4"/>
      <c r="P9" s="84"/>
    </row>
    <row r="10" ht="34.9" customHeight="1" spans="1:16">
      <c r="A10" s="29"/>
      <c r="B10" s="29"/>
      <c r="C10" s="25" t="s">
        <v>107</v>
      </c>
      <c r="D10" s="28" t="s">
        <v>88</v>
      </c>
      <c r="E10" s="57" t="s">
        <v>108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84"/>
    </row>
    <row r="11" ht="34.9" customHeight="1" spans="1:16">
      <c r="A11" s="29"/>
      <c r="B11" s="29"/>
      <c r="C11" s="25" t="s">
        <v>109</v>
      </c>
      <c r="D11" s="28" t="s">
        <v>88</v>
      </c>
      <c r="E11" s="57" t="s">
        <v>110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84"/>
    </row>
    <row r="12" ht="29.25" customHeight="1" spans="1:16">
      <c r="A12" s="29"/>
      <c r="B12" s="25" t="s">
        <v>111</v>
      </c>
      <c r="C12" s="25" t="s">
        <v>112</v>
      </c>
      <c r="D12" s="28" t="s">
        <v>88</v>
      </c>
      <c r="E12" s="58" t="s">
        <v>113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84"/>
    </row>
    <row r="13" ht="29.25" customHeight="1" spans="1:16">
      <c r="A13" s="29"/>
      <c r="B13" s="29"/>
      <c r="C13" s="25" t="s">
        <v>114</v>
      </c>
      <c r="D13" s="28" t="s">
        <v>88</v>
      </c>
      <c r="E13" s="58" t="s">
        <v>115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84"/>
    </row>
    <row r="14" ht="29.25" customHeight="1" spans="1:16">
      <c r="A14" s="29"/>
      <c r="B14" s="29"/>
      <c r="C14" s="25" t="s">
        <v>111</v>
      </c>
      <c r="D14" s="28" t="s">
        <v>88</v>
      </c>
      <c r="E14" s="57" t="s">
        <v>116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84"/>
    </row>
    <row r="15" ht="34.9" customHeight="1" spans="1:16">
      <c r="A15" s="29"/>
      <c r="B15" s="25" t="s">
        <v>117</v>
      </c>
      <c r="C15" s="25" t="s">
        <v>118</v>
      </c>
      <c r="D15" s="28" t="s">
        <v>88</v>
      </c>
      <c r="E15" s="57" t="s">
        <v>119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84"/>
    </row>
    <row r="16" ht="34.9" customHeight="1" spans="1:16">
      <c r="A16" s="29"/>
      <c r="B16" s="25" t="s">
        <v>120</v>
      </c>
      <c r="C16" s="25" t="s">
        <v>121</v>
      </c>
      <c r="D16" s="28" t="s">
        <v>88</v>
      </c>
      <c r="E16" s="57" t="s">
        <v>122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84"/>
    </row>
    <row r="17" ht="29.25" customHeight="1" spans="1:16">
      <c r="A17" s="25" t="s">
        <v>123</v>
      </c>
      <c r="B17" s="25" t="s">
        <v>124</v>
      </c>
      <c r="C17" s="25" t="s">
        <v>125</v>
      </c>
      <c r="D17" s="28" t="s">
        <v>88</v>
      </c>
      <c r="E17" s="58" t="s">
        <v>126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84"/>
    </row>
    <row r="18" ht="29.25" customHeight="1" spans="1:16">
      <c r="A18" s="30"/>
      <c r="B18" s="25"/>
      <c r="C18" s="25" t="s">
        <v>127</v>
      </c>
      <c r="D18" s="28" t="s">
        <v>88</v>
      </c>
      <c r="E18" s="58" t="s">
        <v>128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84"/>
    </row>
    <row r="19" ht="29.25" customHeight="1" spans="1:16">
      <c r="A19" s="30"/>
      <c r="B19" s="25" t="s">
        <v>129</v>
      </c>
      <c r="C19" s="25" t="s">
        <v>130</v>
      </c>
      <c r="D19" s="28" t="s">
        <v>88</v>
      </c>
      <c r="E19" s="58" t="s">
        <v>131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84"/>
    </row>
    <row r="20" ht="29.25" customHeight="1" spans="1:16">
      <c r="A20" s="30"/>
      <c r="B20" s="25"/>
      <c r="C20" s="25" t="s">
        <v>132</v>
      </c>
      <c r="D20" s="28" t="s">
        <v>88</v>
      </c>
      <c r="E20" s="58" t="s">
        <v>133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84"/>
    </row>
    <row r="21" ht="29.25" customHeight="1" spans="1:16">
      <c r="A21" s="30"/>
      <c r="B21" s="25"/>
      <c r="C21" s="25" t="s">
        <v>134</v>
      </c>
      <c r="D21" s="28" t="s">
        <v>88</v>
      </c>
      <c r="E21" s="58" t="s">
        <v>135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84"/>
    </row>
    <row r="22" ht="29.25" customHeight="1" spans="1:16">
      <c r="A22" s="30"/>
      <c r="B22" s="25" t="s">
        <v>136</v>
      </c>
      <c r="C22" s="31" t="s">
        <v>137</v>
      </c>
      <c r="D22" s="28" t="s">
        <v>88</v>
      </c>
      <c r="E22" s="59" t="s">
        <v>138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84"/>
    </row>
    <row r="23" ht="29.25" customHeight="1" spans="1:16">
      <c r="A23" s="30"/>
      <c r="B23" s="25"/>
      <c r="C23" s="31" t="s">
        <v>139</v>
      </c>
      <c r="D23" s="28" t="s">
        <v>88</v>
      </c>
      <c r="E23" s="59" t="s">
        <v>140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84"/>
    </row>
    <row r="24" ht="29.25" customHeight="1" spans="1:16">
      <c r="A24" s="30"/>
      <c r="B24" s="25"/>
      <c r="C24" s="31" t="s">
        <v>141</v>
      </c>
      <c r="D24" s="28" t="s">
        <v>88</v>
      </c>
      <c r="E24" s="59" t="s">
        <v>142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84"/>
    </row>
    <row r="25" ht="29.25" customHeight="1" spans="1:16">
      <c r="A25" s="30"/>
      <c r="B25" s="25" t="s">
        <v>143</v>
      </c>
      <c r="C25" s="31" t="s">
        <v>144</v>
      </c>
      <c r="D25" s="28" t="s">
        <v>88</v>
      </c>
      <c r="E25" s="59" t="s">
        <v>145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84"/>
    </row>
    <row r="26" ht="29.25" customHeight="1" spans="1:16">
      <c r="A26" s="30"/>
      <c r="B26" s="30"/>
      <c r="C26" s="31" t="s">
        <v>146</v>
      </c>
      <c r="D26" s="28" t="s">
        <v>88</v>
      </c>
      <c r="E26" s="59" t="s">
        <v>147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84"/>
    </row>
    <row r="27" ht="29.25" customHeight="1" spans="1:16">
      <c r="A27" s="30"/>
      <c r="B27" s="30"/>
      <c r="C27" s="31" t="s">
        <v>148</v>
      </c>
      <c r="D27" s="28" t="s">
        <v>88</v>
      </c>
      <c r="E27" s="59" t="s">
        <v>149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84"/>
    </row>
    <row r="28" ht="29.25" customHeight="1" spans="1:16">
      <c r="A28" s="32" t="s">
        <v>18</v>
      </c>
      <c r="B28" s="32" t="s">
        <v>150</v>
      </c>
      <c r="C28" s="33" t="s">
        <v>151</v>
      </c>
      <c r="D28" s="28" t="s">
        <v>152</v>
      </c>
      <c r="E28" s="57" t="s">
        <v>153</v>
      </c>
      <c r="F28" s="14">
        <v>0</v>
      </c>
      <c r="G28" s="14" t="s">
        <v>19</v>
      </c>
      <c r="H28" s="14">
        <v>0</v>
      </c>
      <c r="I28" s="14">
        <f t="shared" ref="I28:I39" si="0">H28*2000</f>
        <v>0</v>
      </c>
      <c r="J28" s="75">
        <v>35</v>
      </c>
      <c r="K28" s="76">
        <f t="shared" ref="K28:K39" si="1">J28*0.7</f>
        <v>24.5</v>
      </c>
      <c r="L28" s="76">
        <f t="shared" ref="L28:L38" si="2">J28*0.6</f>
        <v>21</v>
      </c>
      <c r="M28" s="85">
        <f t="shared" ref="M28:M39" si="3">F28*J28</f>
        <v>0</v>
      </c>
      <c r="N28" s="85">
        <f t="shared" ref="N28:N39" si="4">K28*F28</f>
        <v>0</v>
      </c>
      <c r="O28" s="85">
        <f t="shared" ref="O28:O39" si="5">L28*F28</f>
        <v>0</v>
      </c>
      <c r="P28" s="84" t="s">
        <v>154</v>
      </c>
    </row>
    <row r="29" ht="29.25" customHeight="1" spans="1:16">
      <c r="A29" s="34"/>
      <c r="B29" s="34"/>
      <c r="C29" s="34"/>
      <c r="D29" s="28" t="s">
        <v>152</v>
      </c>
      <c r="E29" s="57" t="s">
        <v>155</v>
      </c>
      <c r="F29" s="14">
        <v>0</v>
      </c>
      <c r="G29" s="14" t="s">
        <v>19</v>
      </c>
      <c r="H29" s="14">
        <v>0</v>
      </c>
      <c r="I29" s="14">
        <f t="shared" si="0"/>
        <v>0</v>
      </c>
      <c r="J29" s="75">
        <v>34</v>
      </c>
      <c r="K29" s="76">
        <f t="shared" si="1"/>
        <v>23.8</v>
      </c>
      <c r="L29" s="76">
        <f t="shared" si="2"/>
        <v>20.4</v>
      </c>
      <c r="M29" s="85">
        <f t="shared" si="3"/>
        <v>0</v>
      </c>
      <c r="N29" s="85">
        <f t="shared" si="4"/>
        <v>0</v>
      </c>
      <c r="O29" s="85">
        <f t="shared" si="5"/>
        <v>0</v>
      </c>
      <c r="P29" s="86"/>
    </row>
    <row r="30" ht="29.25" customHeight="1" spans="1:16">
      <c r="A30" s="34"/>
      <c r="B30" s="34"/>
      <c r="C30" s="34"/>
      <c r="D30" s="28" t="s">
        <v>152</v>
      </c>
      <c r="E30" s="57" t="s">
        <v>156</v>
      </c>
      <c r="F30" s="14">
        <v>0</v>
      </c>
      <c r="G30" s="14" t="s">
        <v>19</v>
      </c>
      <c r="H30" s="14">
        <v>0</v>
      </c>
      <c r="I30" s="14">
        <f t="shared" si="0"/>
        <v>0</v>
      </c>
      <c r="J30" s="75">
        <v>33</v>
      </c>
      <c r="K30" s="76">
        <f t="shared" si="1"/>
        <v>23.1</v>
      </c>
      <c r="L30" s="76">
        <f t="shared" si="2"/>
        <v>19.8</v>
      </c>
      <c r="M30" s="85">
        <f t="shared" si="3"/>
        <v>0</v>
      </c>
      <c r="N30" s="85">
        <f t="shared" si="4"/>
        <v>0</v>
      </c>
      <c r="O30" s="85">
        <f t="shared" si="5"/>
        <v>0</v>
      </c>
      <c r="P30" s="86"/>
    </row>
    <row r="31" ht="29.25" customHeight="1" spans="1:16">
      <c r="A31" s="34"/>
      <c r="B31" s="34"/>
      <c r="C31" s="34"/>
      <c r="D31" s="28" t="s">
        <v>152</v>
      </c>
      <c r="E31" s="57" t="s">
        <v>157</v>
      </c>
      <c r="F31" s="14">
        <v>0</v>
      </c>
      <c r="G31" s="14" t="s">
        <v>19</v>
      </c>
      <c r="H31" s="14">
        <v>0</v>
      </c>
      <c r="I31" s="14">
        <f t="shared" si="0"/>
        <v>0</v>
      </c>
      <c r="J31" s="75">
        <v>32</v>
      </c>
      <c r="K31" s="76">
        <f t="shared" si="1"/>
        <v>22.4</v>
      </c>
      <c r="L31" s="76">
        <f t="shared" si="2"/>
        <v>19.2</v>
      </c>
      <c r="M31" s="85">
        <f t="shared" si="3"/>
        <v>0</v>
      </c>
      <c r="N31" s="85">
        <f t="shared" si="4"/>
        <v>0</v>
      </c>
      <c r="O31" s="85">
        <f t="shared" si="5"/>
        <v>0</v>
      </c>
      <c r="P31" s="86"/>
    </row>
    <row r="32" ht="29.25" customHeight="1" spans="1:16">
      <c r="A32" s="34"/>
      <c r="B32" s="34"/>
      <c r="C32" s="34"/>
      <c r="D32" s="28" t="s">
        <v>152</v>
      </c>
      <c r="E32" s="57" t="s">
        <v>158</v>
      </c>
      <c r="F32" s="14">
        <v>0</v>
      </c>
      <c r="G32" s="14" t="s">
        <v>19</v>
      </c>
      <c r="H32" s="14">
        <v>0</v>
      </c>
      <c r="I32" s="14">
        <f t="shared" si="0"/>
        <v>0</v>
      </c>
      <c r="J32" s="75">
        <v>31</v>
      </c>
      <c r="K32" s="76">
        <f t="shared" si="1"/>
        <v>21.7</v>
      </c>
      <c r="L32" s="76">
        <f t="shared" si="2"/>
        <v>18.6</v>
      </c>
      <c r="M32" s="85">
        <f t="shared" si="3"/>
        <v>0</v>
      </c>
      <c r="N32" s="85">
        <f t="shared" si="4"/>
        <v>0</v>
      </c>
      <c r="O32" s="85">
        <f t="shared" si="5"/>
        <v>0</v>
      </c>
      <c r="P32" s="86"/>
    </row>
    <row r="33" ht="29.25" customHeight="1" spans="1:16">
      <c r="A33" s="34"/>
      <c r="B33" s="34"/>
      <c r="C33" s="34"/>
      <c r="D33" s="28" t="s">
        <v>152</v>
      </c>
      <c r="E33" s="57" t="s">
        <v>159</v>
      </c>
      <c r="F33" s="14">
        <v>0</v>
      </c>
      <c r="G33" s="14" t="s">
        <v>19</v>
      </c>
      <c r="H33" s="14">
        <v>0</v>
      </c>
      <c r="I33" s="14">
        <f t="shared" si="0"/>
        <v>0</v>
      </c>
      <c r="J33" s="75">
        <v>30</v>
      </c>
      <c r="K33" s="76">
        <f t="shared" si="1"/>
        <v>21</v>
      </c>
      <c r="L33" s="76">
        <f t="shared" si="2"/>
        <v>18</v>
      </c>
      <c r="M33" s="85">
        <f t="shared" si="3"/>
        <v>0</v>
      </c>
      <c r="N33" s="85">
        <f t="shared" si="4"/>
        <v>0</v>
      </c>
      <c r="O33" s="85">
        <f t="shared" si="5"/>
        <v>0</v>
      </c>
      <c r="P33" s="86"/>
    </row>
    <row r="34" ht="29.25" customHeight="1" spans="1:16">
      <c r="A34" s="34"/>
      <c r="B34" s="34"/>
      <c r="C34" s="34"/>
      <c r="D34" s="28" t="s">
        <v>152</v>
      </c>
      <c r="E34" s="57" t="s">
        <v>160</v>
      </c>
      <c r="F34" s="14">
        <v>0</v>
      </c>
      <c r="G34" s="14" t="s">
        <v>19</v>
      </c>
      <c r="H34" s="14">
        <v>0</v>
      </c>
      <c r="I34" s="14">
        <f t="shared" si="0"/>
        <v>0</v>
      </c>
      <c r="J34" s="75">
        <v>29</v>
      </c>
      <c r="K34" s="76">
        <f t="shared" si="1"/>
        <v>20.3</v>
      </c>
      <c r="L34" s="76">
        <f t="shared" si="2"/>
        <v>17.4</v>
      </c>
      <c r="M34" s="85">
        <f t="shared" si="3"/>
        <v>0</v>
      </c>
      <c r="N34" s="85">
        <f t="shared" si="4"/>
        <v>0</v>
      </c>
      <c r="O34" s="85">
        <f t="shared" si="5"/>
        <v>0</v>
      </c>
      <c r="P34" s="86"/>
    </row>
    <row r="35" ht="29.25" customHeight="1" spans="1:16">
      <c r="A35" s="34"/>
      <c r="B35" s="34"/>
      <c r="C35" s="34"/>
      <c r="D35" s="28" t="s">
        <v>152</v>
      </c>
      <c r="E35" s="57" t="s">
        <v>161</v>
      </c>
      <c r="F35" s="14">
        <v>0</v>
      </c>
      <c r="G35" s="14" t="s">
        <v>19</v>
      </c>
      <c r="H35" s="14">
        <v>0</v>
      </c>
      <c r="I35" s="14">
        <f t="shared" si="0"/>
        <v>0</v>
      </c>
      <c r="J35" s="75">
        <v>28</v>
      </c>
      <c r="K35" s="76">
        <f t="shared" si="1"/>
        <v>19.6</v>
      </c>
      <c r="L35" s="76">
        <f t="shared" si="2"/>
        <v>16.8</v>
      </c>
      <c r="M35" s="85">
        <f t="shared" si="3"/>
        <v>0</v>
      </c>
      <c r="N35" s="85">
        <f t="shared" si="4"/>
        <v>0</v>
      </c>
      <c r="O35" s="85">
        <f t="shared" si="5"/>
        <v>0</v>
      </c>
      <c r="P35" s="86"/>
    </row>
    <row r="36" ht="29.25" customHeight="1" spans="1:16">
      <c r="A36" s="34"/>
      <c r="B36" s="34"/>
      <c r="C36" s="34"/>
      <c r="D36" s="28" t="s">
        <v>152</v>
      </c>
      <c r="E36" s="57" t="s">
        <v>162</v>
      </c>
      <c r="F36" s="14">
        <v>0</v>
      </c>
      <c r="G36" s="14" t="s">
        <v>19</v>
      </c>
      <c r="H36" s="14">
        <v>0</v>
      </c>
      <c r="I36" s="14">
        <f t="shared" si="0"/>
        <v>0</v>
      </c>
      <c r="J36" s="75">
        <v>27</v>
      </c>
      <c r="K36" s="76">
        <f t="shared" si="1"/>
        <v>18.9</v>
      </c>
      <c r="L36" s="76">
        <f t="shared" si="2"/>
        <v>16.2</v>
      </c>
      <c r="M36" s="85">
        <f t="shared" si="3"/>
        <v>0</v>
      </c>
      <c r="N36" s="85">
        <f t="shared" si="4"/>
        <v>0</v>
      </c>
      <c r="O36" s="85">
        <f t="shared" si="5"/>
        <v>0</v>
      </c>
      <c r="P36" s="86"/>
    </row>
    <row r="37" ht="29.25" customHeight="1" spans="1:16">
      <c r="A37" s="34"/>
      <c r="B37" s="34"/>
      <c r="C37" s="34"/>
      <c r="D37" s="28" t="s">
        <v>152</v>
      </c>
      <c r="E37" s="57" t="s">
        <v>163</v>
      </c>
      <c r="F37" s="14">
        <v>0</v>
      </c>
      <c r="G37" s="14" t="s">
        <v>19</v>
      </c>
      <c r="H37" s="14">
        <v>0</v>
      </c>
      <c r="I37" s="14">
        <f t="shared" si="0"/>
        <v>0</v>
      </c>
      <c r="J37" s="75">
        <v>26</v>
      </c>
      <c r="K37" s="76">
        <f t="shared" si="1"/>
        <v>18.2</v>
      </c>
      <c r="L37" s="76">
        <f t="shared" si="2"/>
        <v>15.6</v>
      </c>
      <c r="M37" s="85">
        <f t="shared" si="3"/>
        <v>0</v>
      </c>
      <c r="N37" s="85">
        <f t="shared" si="4"/>
        <v>0</v>
      </c>
      <c r="O37" s="85">
        <f t="shared" si="5"/>
        <v>0</v>
      </c>
      <c r="P37" s="86"/>
    </row>
    <row r="38" ht="29.25" customHeight="1" spans="1:16">
      <c r="A38" s="34"/>
      <c r="B38" s="34"/>
      <c r="C38" s="34"/>
      <c r="D38" s="28" t="s">
        <v>152</v>
      </c>
      <c r="E38" s="57" t="s">
        <v>164</v>
      </c>
      <c r="F38" s="14">
        <v>0</v>
      </c>
      <c r="G38" s="14" t="s">
        <v>19</v>
      </c>
      <c r="H38" s="14">
        <v>0</v>
      </c>
      <c r="I38" s="14">
        <f t="shared" si="0"/>
        <v>0</v>
      </c>
      <c r="J38" s="75">
        <v>25</v>
      </c>
      <c r="K38" s="76">
        <f t="shared" si="1"/>
        <v>17.5</v>
      </c>
      <c r="L38" s="76">
        <f t="shared" si="2"/>
        <v>15</v>
      </c>
      <c r="M38" s="85">
        <f t="shared" si="3"/>
        <v>0</v>
      </c>
      <c r="N38" s="85">
        <f t="shared" si="4"/>
        <v>0</v>
      </c>
      <c r="O38" s="85">
        <f t="shared" si="5"/>
        <v>0</v>
      </c>
      <c r="P38" s="86"/>
    </row>
    <row r="39" s="13" customFormat="1" ht="29.25" customHeight="1" spans="1:16">
      <c r="A39" s="35"/>
      <c r="B39" s="35"/>
      <c r="C39" s="35"/>
      <c r="D39" s="36" t="s">
        <v>152</v>
      </c>
      <c r="E39" s="60" t="s">
        <v>165</v>
      </c>
      <c r="F39" s="61">
        <f>102927+9778</f>
        <v>112705</v>
      </c>
      <c r="G39" s="36" t="s">
        <v>19</v>
      </c>
      <c r="H39" s="36">
        <v>0</v>
      </c>
      <c r="I39" s="36">
        <f t="shared" si="0"/>
        <v>0</v>
      </c>
      <c r="J39" s="77">
        <v>20</v>
      </c>
      <c r="K39" s="78">
        <f t="shared" si="1"/>
        <v>14</v>
      </c>
      <c r="L39" s="78">
        <v>10</v>
      </c>
      <c r="M39" s="87">
        <f t="shared" si="3"/>
        <v>2254100</v>
      </c>
      <c r="N39" s="87">
        <f t="shared" si="4"/>
        <v>1577870</v>
      </c>
      <c r="O39" s="87">
        <f t="shared" si="5"/>
        <v>1127050</v>
      </c>
      <c r="P39" s="60"/>
    </row>
    <row r="40" ht="29.25" customHeight="1" spans="1:16">
      <c r="A40" s="37" t="s">
        <v>166</v>
      </c>
      <c r="B40" s="37" t="s">
        <v>167</v>
      </c>
      <c r="C40" s="38" t="s">
        <v>168</v>
      </c>
      <c r="D40" s="39" t="s">
        <v>152</v>
      </c>
      <c r="E40" s="62" t="s">
        <v>169</v>
      </c>
      <c r="F40" s="63">
        <v>0</v>
      </c>
      <c r="G40" s="64" t="s">
        <v>14</v>
      </c>
      <c r="H40" s="14">
        <v>1</v>
      </c>
      <c r="I40" s="14">
        <v>15000</v>
      </c>
      <c r="J40" s="14">
        <v>15000</v>
      </c>
      <c r="K40" s="14">
        <v>15000</v>
      </c>
      <c r="L40" s="14">
        <v>15000</v>
      </c>
      <c r="M40" s="14">
        <v>15000</v>
      </c>
      <c r="N40" s="14">
        <v>15000</v>
      </c>
      <c r="O40" s="14">
        <v>15000</v>
      </c>
      <c r="P40" s="88" t="s">
        <v>170</v>
      </c>
    </row>
    <row r="41" ht="29.25" customHeight="1" spans="1:16">
      <c r="A41" s="5"/>
      <c r="B41" s="5"/>
      <c r="C41" s="38" t="s">
        <v>167</v>
      </c>
      <c r="D41" s="39" t="s">
        <v>152</v>
      </c>
      <c r="E41" s="62" t="s">
        <v>171</v>
      </c>
      <c r="F41" s="63">
        <v>0</v>
      </c>
      <c r="G41" s="64" t="s">
        <v>14</v>
      </c>
      <c r="H41" s="65">
        <v>1</v>
      </c>
      <c r="I41" s="14">
        <f>H41*2000</f>
        <v>2000</v>
      </c>
      <c r="J41" s="79">
        <v>5000</v>
      </c>
      <c r="K41" s="76">
        <f>J41*0.7</f>
        <v>3500</v>
      </c>
      <c r="L41" s="76">
        <f>J41*0.6</f>
        <v>3000</v>
      </c>
      <c r="M41" s="85">
        <f>F41*J41</f>
        <v>0</v>
      </c>
      <c r="N41" s="85">
        <f>K41*F41</f>
        <v>0</v>
      </c>
      <c r="O41" s="85">
        <f>L41*F41</f>
        <v>0</v>
      </c>
      <c r="P41" s="88"/>
    </row>
    <row r="42" ht="36" customHeight="1" spans="1:16">
      <c r="A42" s="40" t="s">
        <v>172</v>
      </c>
      <c r="B42" s="41" t="s">
        <v>173</v>
      </c>
      <c r="C42" s="41" t="s">
        <v>174</v>
      </c>
      <c r="D42" s="42" t="s">
        <v>152</v>
      </c>
      <c r="E42" s="57" t="s">
        <v>175</v>
      </c>
      <c r="F42" s="66">
        <v>0</v>
      </c>
      <c r="G42" s="14" t="s">
        <v>176</v>
      </c>
      <c r="H42" s="14" t="s">
        <v>177</v>
      </c>
      <c r="I42" s="14" t="s">
        <v>177</v>
      </c>
      <c r="J42" s="14" t="s">
        <v>177</v>
      </c>
      <c r="K42" s="14" t="s">
        <v>177</v>
      </c>
      <c r="L42" s="14" t="s">
        <v>177</v>
      </c>
      <c r="M42" s="85"/>
      <c r="N42" s="85"/>
      <c r="O42" s="85"/>
      <c r="P42" s="84" t="s">
        <v>178</v>
      </c>
    </row>
    <row r="43" ht="36" customHeight="1" spans="1:16">
      <c r="A43" s="4"/>
      <c r="B43" s="41"/>
      <c r="C43" s="41"/>
      <c r="D43" s="42" t="s">
        <v>152</v>
      </c>
      <c r="E43" s="57" t="s">
        <v>179</v>
      </c>
      <c r="F43" s="63">
        <v>0</v>
      </c>
      <c r="G43" s="14" t="s">
        <v>176</v>
      </c>
      <c r="H43" s="14">
        <v>1</v>
      </c>
      <c r="I43" s="14">
        <v>15000</v>
      </c>
      <c r="J43" s="14">
        <v>15000</v>
      </c>
      <c r="K43" s="14">
        <v>15000</v>
      </c>
      <c r="L43" s="14">
        <v>15000</v>
      </c>
      <c r="M43" s="14">
        <v>20000</v>
      </c>
      <c r="N43" s="14">
        <v>20000</v>
      </c>
      <c r="O43" s="14">
        <v>20000</v>
      </c>
      <c r="P43" s="84" t="s">
        <v>178</v>
      </c>
    </row>
    <row r="44" ht="36" customHeight="1" spans="1:16">
      <c r="A44" s="4"/>
      <c r="B44" s="41"/>
      <c r="C44" s="41"/>
      <c r="D44" s="42" t="s">
        <v>152</v>
      </c>
      <c r="E44" s="57" t="s">
        <v>180</v>
      </c>
      <c r="F44" s="67">
        <v>1</v>
      </c>
      <c r="G44" s="14" t="s">
        <v>176</v>
      </c>
      <c r="H44" s="14">
        <v>5</v>
      </c>
      <c r="I44" s="14">
        <f t="shared" ref="I44:I50" si="6">H44*2000</f>
        <v>10000</v>
      </c>
      <c r="J44" s="75">
        <f t="shared" ref="J44:J50" si="7">H44*3000</f>
        <v>15000</v>
      </c>
      <c r="K44" s="76">
        <f t="shared" ref="K44:K50" si="8">J44*0.7</f>
        <v>10500</v>
      </c>
      <c r="L44" s="76">
        <f t="shared" ref="L44:L50" si="9">J44*0.6</f>
        <v>9000</v>
      </c>
      <c r="M44" s="85">
        <f t="shared" ref="M44:M50" si="10">F44*J44</f>
        <v>15000</v>
      </c>
      <c r="N44" s="85">
        <f t="shared" ref="N44:N50" si="11">K44*F44</f>
        <v>10500</v>
      </c>
      <c r="O44" s="85">
        <f t="shared" ref="O44:O50" si="12">L44*F44</f>
        <v>9000</v>
      </c>
      <c r="P44" s="84"/>
    </row>
    <row r="45" ht="36" customHeight="1" spans="1:16">
      <c r="A45" s="4"/>
      <c r="B45" s="41"/>
      <c r="C45" s="41"/>
      <c r="D45" s="42" t="s">
        <v>152</v>
      </c>
      <c r="E45" s="57" t="s">
        <v>181</v>
      </c>
      <c r="F45" s="66">
        <v>0</v>
      </c>
      <c r="G45" s="14" t="s">
        <v>176</v>
      </c>
      <c r="H45" s="14">
        <v>7</v>
      </c>
      <c r="I45" s="14">
        <f t="shared" si="6"/>
        <v>14000</v>
      </c>
      <c r="J45" s="75">
        <f t="shared" si="7"/>
        <v>21000</v>
      </c>
      <c r="K45" s="76">
        <f t="shared" si="8"/>
        <v>14700</v>
      </c>
      <c r="L45" s="76">
        <f t="shared" si="9"/>
        <v>12600</v>
      </c>
      <c r="M45" s="85">
        <f t="shared" si="10"/>
        <v>0</v>
      </c>
      <c r="N45" s="85">
        <f t="shared" si="11"/>
        <v>0</v>
      </c>
      <c r="O45" s="85">
        <f t="shared" si="12"/>
        <v>0</v>
      </c>
      <c r="P45" s="84"/>
    </row>
    <row r="46" ht="36" customHeight="1" spans="1:16">
      <c r="A46" s="4"/>
      <c r="B46" s="41"/>
      <c r="C46" s="43" t="s">
        <v>182</v>
      </c>
      <c r="D46" s="42" t="s">
        <v>152</v>
      </c>
      <c r="E46" s="57" t="s">
        <v>183</v>
      </c>
      <c r="F46" s="66">
        <v>0</v>
      </c>
      <c r="G46" s="14" t="s">
        <v>176</v>
      </c>
      <c r="H46" s="14">
        <v>2</v>
      </c>
      <c r="I46" s="14">
        <f t="shared" si="6"/>
        <v>4000</v>
      </c>
      <c r="J46" s="75">
        <f t="shared" si="7"/>
        <v>6000</v>
      </c>
      <c r="K46" s="76">
        <f t="shared" si="8"/>
        <v>4200</v>
      </c>
      <c r="L46" s="76">
        <f t="shared" si="9"/>
        <v>3600</v>
      </c>
      <c r="M46" s="85">
        <f t="shared" si="10"/>
        <v>0</v>
      </c>
      <c r="N46" s="85">
        <f t="shared" si="11"/>
        <v>0</v>
      </c>
      <c r="O46" s="85">
        <f t="shared" si="12"/>
        <v>0</v>
      </c>
      <c r="P46" s="84"/>
    </row>
    <row r="47" ht="36" customHeight="1" spans="1:16">
      <c r="A47" s="4"/>
      <c r="B47" s="41"/>
      <c r="C47" s="43"/>
      <c r="D47" s="42" t="s">
        <v>152</v>
      </c>
      <c r="E47" s="57" t="s">
        <v>184</v>
      </c>
      <c r="F47" s="66">
        <v>0</v>
      </c>
      <c r="G47" s="14" t="s">
        <v>176</v>
      </c>
      <c r="H47" s="14">
        <v>3</v>
      </c>
      <c r="I47" s="14">
        <f t="shared" si="6"/>
        <v>6000</v>
      </c>
      <c r="J47" s="75">
        <f t="shared" si="7"/>
        <v>9000</v>
      </c>
      <c r="K47" s="76">
        <f t="shared" si="8"/>
        <v>6300</v>
      </c>
      <c r="L47" s="76">
        <f t="shared" si="9"/>
        <v>5400</v>
      </c>
      <c r="M47" s="85">
        <f t="shared" si="10"/>
        <v>0</v>
      </c>
      <c r="N47" s="85">
        <f t="shared" si="11"/>
        <v>0</v>
      </c>
      <c r="O47" s="85">
        <f t="shared" si="12"/>
        <v>0</v>
      </c>
      <c r="P47" s="84"/>
    </row>
    <row r="48" ht="47.45" customHeight="1" spans="1:16">
      <c r="A48" s="4"/>
      <c r="B48" s="41"/>
      <c r="C48" s="41" t="s">
        <v>185</v>
      </c>
      <c r="D48" s="42" t="s">
        <v>152</v>
      </c>
      <c r="E48" s="57" t="s">
        <v>186</v>
      </c>
      <c r="F48" s="14">
        <v>0</v>
      </c>
      <c r="G48" s="14" t="s">
        <v>176</v>
      </c>
      <c r="H48" s="14">
        <v>2</v>
      </c>
      <c r="I48" s="14">
        <f t="shared" si="6"/>
        <v>4000</v>
      </c>
      <c r="J48" s="75">
        <f t="shared" si="7"/>
        <v>6000</v>
      </c>
      <c r="K48" s="76">
        <f t="shared" si="8"/>
        <v>4200</v>
      </c>
      <c r="L48" s="76">
        <f t="shared" si="9"/>
        <v>3600</v>
      </c>
      <c r="M48" s="85">
        <f t="shared" si="10"/>
        <v>0</v>
      </c>
      <c r="N48" s="85">
        <f t="shared" si="11"/>
        <v>0</v>
      </c>
      <c r="O48" s="85">
        <f t="shared" si="12"/>
        <v>0</v>
      </c>
      <c r="P48" s="84"/>
    </row>
    <row r="49" ht="36" customHeight="1" spans="1:16">
      <c r="A49" s="4"/>
      <c r="B49" s="41"/>
      <c r="C49" s="41" t="s">
        <v>187</v>
      </c>
      <c r="D49" s="42" t="s">
        <v>152</v>
      </c>
      <c r="E49" s="57" t="s">
        <v>183</v>
      </c>
      <c r="F49" s="66">
        <v>0</v>
      </c>
      <c r="G49" s="14" t="s">
        <v>176</v>
      </c>
      <c r="H49" s="14">
        <v>2</v>
      </c>
      <c r="I49" s="14">
        <f t="shared" si="6"/>
        <v>4000</v>
      </c>
      <c r="J49" s="75">
        <f t="shared" si="7"/>
        <v>6000</v>
      </c>
      <c r="K49" s="76">
        <f t="shared" si="8"/>
        <v>4200</v>
      </c>
      <c r="L49" s="76">
        <f t="shared" si="9"/>
        <v>3600</v>
      </c>
      <c r="M49" s="85">
        <f t="shared" si="10"/>
        <v>0</v>
      </c>
      <c r="N49" s="85">
        <f t="shared" si="11"/>
        <v>0</v>
      </c>
      <c r="O49" s="85">
        <f t="shared" si="12"/>
        <v>0</v>
      </c>
      <c r="P49" s="89"/>
    </row>
    <row r="50" ht="36" customHeight="1" spans="1:16">
      <c r="A50" s="4"/>
      <c r="B50" s="41"/>
      <c r="C50" s="41"/>
      <c r="D50" s="42" t="s">
        <v>152</v>
      </c>
      <c r="E50" s="57" t="s">
        <v>184</v>
      </c>
      <c r="F50" s="66">
        <v>0</v>
      </c>
      <c r="G50" s="14" t="s">
        <v>176</v>
      </c>
      <c r="H50" s="14">
        <v>3</v>
      </c>
      <c r="I50" s="14">
        <f t="shared" si="6"/>
        <v>6000</v>
      </c>
      <c r="J50" s="75">
        <f t="shared" si="7"/>
        <v>9000</v>
      </c>
      <c r="K50" s="76">
        <f t="shared" si="8"/>
        <v>6300</v>
      </c>
      <c r="L50" s="76">
        <f t="shared" si="9"/>
        <v>5400</v>
      </c>
      <c r="M50" s="85">
        <f t="shared" si="10"/>
        <v>0</v>
      </c>
      <c r="N50" s="85">
        <f t="shared" si="11"/>
        <v>0</v>
      </c>
      <c r="O50" s="90">
        <f t="shared" si="12"/>
        <v>0</v>
      </c>
      <c r="P50" s="84"/>
    </row>
    <row r="51" ht="36" customHeight="1" spans="1:16">
      <c r="A51" s="4"/>
      <c r="B51" s="40" t="s">
        <v>188</v>
      </c>
      <c r="C51" s="40" t="s">
        <v>189</v>
      </c>
      <c r="D51" s="42" t="s">
        <v>152</v>
      </c>
      <c r="E51" s="57" t="s">
        <v>190</v>
      </c>
      <c r="F51" s="66">
        <v>0</v>
      </c>
      <c r="G51" s="14" t="s">
        <v>176</v>
      </c>
      <c r="H51" s="14" t="s">
        <v>177</v>
      </c>
      <c r="I51" s="14" t="s">
        <v>177</v>
      </c>
      <c r="J51" s="14" t="s">
        <v>177</v>
      </c>
      <c r="K51" s="14" t="s">
        <v>177</v>
      </c>
      <c r="L51" s="14" t="s">
        <v>177</v>
      </c>
      <c r="M51" s="85"/>
      <c r="N51" s="85"/>
      <c r="O51" s="90"/>
      <c r="P51" s="84" t="s">
        <v>191</v>
      </c>
    </row>
    <row r="52" ht="36" customHeight="1" spans="1:16">
      <c r="A52" s="4"/>
      <c r="B52" s="4"/>
      <c r="C52" s="4"/>
      <c r="D52" s="42" t="s">
        <v>152</v>
      </c>
      <c r="E52" s="57" t="s">
        <v>192</v>
      </c>
      <c r="F52" s="66">
        <v>327</v>
      </c>
      <c r="G52" s="14" t="s">
        <v>176</v>
      </c>
      <c r="H52" s="14">
        <v>3</v>
      </c>
      <c r="I52" s="14">
        <f>H52*2000</f>
        <v>6000</v>
      </c>
      <c r="J52" s="75">
        <f>I52*1.5</f>
        <v>9000</v>
      </c>
      <c r="K52" s="76">
        <f>J52*0.7</f>
        <v>6300</v>
      </c>
      <c r="L52" s="76">
        <f>J52*0.6</f>
        <v>5400</v>
      </c>
      <c r="M52" s="85">
        <f>F52*J52</f>
        <v>2943000</v>
      </c>
      <c r="N52" s="85">
        <f>K52*F52</f>
        <v>2060100</v>
      </c>
      <c r="O52" s="90">
        <f>L52*F52</f>
        <v>1765800</v>
      </c>
      <c r="P52" s="84" t="s">
        <v>193</v>
      </c>
    </row>
    <row r="53" ht="36" customHeight="1" spans="1:16">
      <c r="A53" s="4"/>
      <c r="B53" s="4"/>
      <c r="C53" s="4"/>
      <c r="D53" s="42" t="s">
        <v>152</v>
      </c>
      <c r="E53" s="57" t="s">
        <v>194</v>
      </c>
      <c r="F53" s="66">
        <v>0</v>
      </c>
      <c r="G53" s="14" t="s">
        <v>176</v>
      </c>
      <c r="H53" s="14">
        <v>4</v>
      </c>
      <c r="I53" s="14">
        <f>H53*2000</f>
        <v>8000</v>
      </c>
      <c r="J53" s="75">
        <f>I53*1.5</f>
        <v>12000</v>
      </c>
      <c r="K53" s="76">
        <f>J53*0.7</f>
        <v>8400</v>
      </c>
      <c r="L53" s="76">
        <f>J53*0.6</f>
        <v>7200</v>
      </c>
      <c r="M53" s="85">
        <f>F53*J53</f>
        <v>0</v>
      </c>
      <c r="N53" s="85">
        <f>K53*F53</f>
        <v>0</v>
      </c>
      <c r="O53" s="90">
        <f>L53*F53</f>
        <v>0</v>
      </c>
      <c r="P53" s="91"/>
    </row>
    <row r="54" ht="36" customHeight="1" spans="1:16">
      <c r="A54" s="4"/>
      <c r="B54" s="5"/>
      <c r="C54" s="5"/>
      <c r="D54" s="42" t="s">
        <v>152</v>
      </c>
      <c r="E54" s="57" t="s">
        <v>195</v>
      </c>
      <c r="F54" s="66">
        <v>0</v>
      </c>
      <c r="G54" s="14" t="s">
        <v>14</v>
      </c>
      <c r="H54" s="14" t="s">
        <v>177</v>
      </c>
      <c r="I54" s="14" t="s">
        <v>177</v>
      </c>
      <c r="J54" s="14" t="s">
        <v>177</v>
      </c>
      <c r="K54" s="14" t="s">
        <v>177</v>
      </c>
      <c r="L54" s="14" t="s">
        <v>177</v>
      </c>
      <c r="M54" s="85"/>
      <c r="N54" s="85"/>
      <c r="O54" s="90"/>
      <c r="P54" s="84" t="s">
        <v>196</v>
      </c>
    </row>
    <row r="55" ht="55.45" customHeight="1" spans="1:16">
      <c r="A55" s="44" t="s">
        <v>197</v>
      </c>
      <c r="B55" s="45" t="s">
        <v>198</v>
      </c>
      <c r="C55" s="46" t="s">
        <v>199</v>
      </c>
      <c r="D55" s="28" t="s">
        <v>152</v>
      </c>
      <c r="E55" s="57" t="s">
        <v>200</v>
      </c>
      <c r="F55" s="14">
        <v>0</v>
      </c>
      <c r="G55" s="14" t="s">
        <v>14</v>
      </c>
      <c r="H55" s="14">
        <v>0</v>
      </c>
      <c r="I55" s="14">
        <f t="shared" ref="I55:I65" si="13">H55*2000</f>
        <v>0</v>
      </c>
      <c r="J55" s="75">
        <v>12000</v>
      </c>
      <c r="K55" s="76">
        <f t="shared" ref="K55:K65" si="14">J55*0.7</f>
        <v>8400</v>
      </c>
      <c r="L55" s="76">
        <f>J55*0.6</f>
        <v>7200</v>
      </c>
      <c r="M55" s="85">
        <f t="shared" ref="M55:M65" si="15">F55*J55</f>
        <v>0</v>
      </c>
      <c r="N55" s="85">
        <f t="shared" ref="N55:N65" si="16">K55*F55</f>
        <v>0</v>
      </c>
      <c r="O55" s="90">
        <f t="shared" ref="O55:O65" si="17">L55*F55</f>
        <v>0</v>
      </c>
      <c r="P55" s="84"/>
    </row>
    <row r="56" ht="45.75" customHeight="1" spans="1:16">
      <c r="A56" s="47"/>
      <c r="B56" s="45" t="s">
        <v>201</v>
      </c>
      <c r="C56" s="48" t="s">
        <v>202</v>
      </c>
      <c r="D56" s="28" t="s">
        <v>152</v>
      </c>
      <c r="E56" s="57" t="s">
        <v>200</v>
      </c>
      <c r="F56" s="67">
        <v>1</v>
      </c>
      <c r="G56" s="14" t="s">
        <v>14</v>
      </c>
      <c r="H56" s="14">
        <v>0</v>
      </c>
      <c r="I56" s="14">
        <f t="shared" si="13"/>
        <v>0</v>
      </c>
      <c r="J56" s="75">
        <v>20000</v>
      </c>
      <c r="K56" s="76">
        <f t="shared" si="14"/>
        <v>14000</v>
      </c>
      <c r="L56" s="76">
        <f>J56*0.6</f>
        <v>12000</v>
      </c>
      <c r="M56" s="85">
        <f t="shared" si="15"/>
        <v>20000</v>
      </c>
      <c r="N56" s="85">
        <f t="shared" si="16"/>
        <v>14000</v>
      </c>
      <c r="O56" s="90">
        <f t="shared" si="17"/>
        <v>12000</v>
      </c>
      <c r="P56" s="84" t="s">
        <v>203</v>
      </c>
    </row>
    <row r="57" ht="29.25" customHeight="1" spans="1:16">
      <c r="A57" s="48" t="s">
        <v>204</v>
      </c>
      <c r="B57" s="48" t="s">
        <v>205</v>
      </c>
      <c r="C57" s="48" t="s">
        <v>206</v>
      </c>
      <c r="D57" s="42" t="s">
        <v>152</v>
      </c>
      <c r="E57" s="58" t="s">
        <v>207</v>
      </c>
      <c r="F57" s="14">
        <v>0</v>
      </c>
      <c r="G57" s="68" t="s">
        <v>14</v>
      </c>
      <c r="H57" s="14">
        <v>0.5</v>
      </c>
      <c r="I57" s="14">
        <f t="shared" si="13"/>
        <v>1000</v>
      </c>
      <c r="J57" s="75">
        <v>5000</v>
      </c>
      <c r="K57" s="76">
        <f t="shared" si="14"/>
        <v>3500</v>
      </c>
      <c r="L57" s="76">
        <f>J57*0.6</f>
        <v>3000</v>
      </c>
      <c r="M57" s="85">
        <f t="shared" si="15"/>
        <v>0</v>
      </c>
      <c r="N57" s="85">
        <f t="shared" si="16"/>
        <v>0</v>
      </c>
      <c r="O57" s="90">
        <f t="shared" si="17"/>
        <v>0</v>
      </c>
      <c r="P57" s="84" t="s">
        <v>208</v>
      </c>
    </row>
    <row r="58" ht="29.25" customHeight="1" spans="1:16">
      <c r="A58" s="49"/>
      <c r="B58" s="49"/>
      <c r="C58" s="48" t="s">
        <v>206</v>
      </c>
      <c r="D58" s="42" t="s">
        <v>152</v>
      </c>
      <c r="E58" s="58" t="s">
        <v>209</v>
      </c>
      <c r="F58" s="14">
        <v>0</v>
      </c>
      <c r="G58" s="68" t="s">
        <v>14</v>
      </c>
      <c r="H58" s="14">
        <v>10</v>
      </c>
      <c r="I58" s="14">
        <f t="shared" si="13"/>
        <v>20000</v>
      </c>
      <c r="J58" s="75">
        <f>H58*3000</f>
        <v>30000</v>
      </c>
      <c r="K58" s="76">
        <f t="shared" si="14"/>
        <v>21000</v>
      </c>
      <c r="L58" s="76">
        <f>I58</f>
        <v>20000</v>
      </c>
      <c r="M58" s="85">
        <f t="shared" si="15"/>
        <v>0</v>
      </c>
      <c r="N58" s="85">
        <f t="shared" si="16"/>
        <v>0</v>
      </c>
      <c r="O58" s="90">
        <f t="shared" si="17"/>
        <v>0</v>
      </c>
      <c r="P58" s="84" t="s">
        <v>208</v>
      </c>
    </row>
    <row r="59" ht="29.25" customHeight="1" spans="1:16">
      <c r="A59" s="49"/>
      <c r="B59" s="48" t="s">
        <v>210</v>
      </c>
      <c r="C59" s="48" t="s">
        <v>211</v>
      </c>
      <c r="D59" s="42" t="s">
        <v>152</v>
      </c>
      <c r="E59" s="58" t="s">
        <v>212</v>
      </c>
      <c r="F59" s="14">
        <v>0</v>
      </c>
      <c r="G59" s="68" t="s">
        <v>14</v>
      </c>
      <c r="H59" s="14">
        <v>0.5</v>
      </c>
      <c r="I59" s="14">
        <f t="shared" si="13"/>
        <v>1000</v>
      </c>
      <c r="J59" s="75">
        <v>5000</v>
      </c>
      <c r="K59" s="76">
        <f t="shared" si="14"/>
        <v>3500</v>
      </c>
      <c r="L59" s="76">
        <f>J59*0.6</f>
        <v>3000</v>
      </c>
      <c r="M59" s="85">
        <f t="shared" si="15"/>
        <v>0</v>
      </c>
      <c r="N59" s="85">
        <f t="shared" si="16"/>
        <v>0</v>
      </c>
      <c r="O59" s="90">
        <f t="shared" si="17"/>
        <v>0</v>
      </c>
      <c r="P59" s="84" t="s">
        <v>208</v>
      </c>
    </row>
    <row r="60" ht="29.25" customHeight="1" spans="1:16">
      <c r="A60" s="50"/>
      <c r="B60" s="50"/>
      <c r="C60" s="51" t="s">
        <v>211</v>
      </c>
      <c r="D60" s="52" t="s">
        <v>152</v>
      </c>
      <c r="E60" s="69" t="s">
        <v>209</v>
      </c>
      <c r="F60" s="70">
        <v>1</v>
      </c>
      <c r="G60" s="71" t="s">
        <v>14</v>
      </c>
      <c r="H60" s="72">
        <v>10</v>
      </c>
      <c r="I60" s="72">
        <f t="shared" si="13"/>
        <v>20000</v>
      </c>
      <c r="J60" s="80">
        <f>H60*3000</f>
        <v>30000</v>
      </c>
      <c r="K60" s="81">
        <f t="shared" si="14"/>
        <v>21000</v>
      </c>
      <c r="L60" s="81">
        <f>I60</f>
        <v>20000</v>
      </c>
      <c r="M60" s="85">
        <f t="shared" si="15"/>
        <v>30000</v>
      </c>
      <c r="N60" s="85">
        <f t="shared" si="16"/>
        <v>21000</v>
      </c>
      <c r="O60" s="90">
        <f t="shared" si="17"/>
        <v>20000</v>
      </c>
      <c r="P60" s="84" t="s">
        <v>208</v>
      </c>
    </row>
    <row r="61" ht="49.9" customHeight="1" spans="1:16">
      <c r="A61" s="45" t="s">
        <v>213</v>
      </c>
      <c r="B61" s="48" t="s">
        <v>214</v>
      </c>
      <c r="C61" s="48" t="s">
        <v>215</v>
      </c>
      <c r="D61" s="28" t="s">
        <v>152</v>
      </c>
      <c r="E61" s="57" t="s">
        <v>216</v>
      </c>
      <c r="F61" s="70">
        <v>1</v>
      </c>
      <c r="G61" s="14" t="s">
        <v>14</v>
      </c>
      <c r="H61" s="14">
        <v>0</v>
      </c>
      <c r="I61" s="14">
        <f t="shared" si="13"/>
        <v>0</v>
      </c>
      <c r="J61" s="75">
        <v>10000</v>
      </c>
      <c r="K61" s="76">
        <f t="shared" si="14"/>
        <v>7000</v>
      </c>
      <c r="L61" s="76">
        <f>J61*0.6</f>
        <v>6000</v>
      </c>
      <c r="M61" s="85">
        <f t="shared" si="15"/>
        <v>10000</v>
      </c>
      <c r="N61" s="85">
        <f t="shared" si="16"/>
        <v>7000</v>
      </c>
      <c r="O61" s="90">
        <f t="shared" si="17"/>
        <v>6000</v>
      </c>
      <c r="P61" s="84"/>
    </row>
    <row r="62" ht="34.9" customHeight="1" spans="1:16">
      <c r="A62" s="49"/>
      <c r="B62" s="47"/>
      <c r="C62" s="48" t="s">
        <v>217</v>
      </c>
      <c r="D62" s="28" t="s">
        <v>152</v>
      </c>
      <c r="E62" s="57" t="s">
        <v>218</v>
      </c>
      <c r="F62" s="70">
        <v>1</v>
      </c>
      <c r="G62" s="14" t="s">
        <v>14</v>
      </c>
      <c r="H62" s="14">
        <v>0</v>
      </c>
      <c r="I62" s="14">
        <f t="shared" si="13"/>
        <v>0</v>
      </c>
      <c r="J62" s="75">
        <v>10000</v>
      </c>
      <c r="K62" s="76">
        <f t="shared" si="14"/>
        <v>7000</v>
      </c>
      <c r="L62" s="76">
        <f>J62*0.6</f>
        <v>6000</v>
      </c>
      <c r="M62" s="85">
        <f t="shared" si="15"/>
        <v>10000</v>
      </c>
      <c r="N62" s="85">
        <f t="shared" si="16"/>
        <v>7000</v>
      </c>
      <c r="O62" s="90">
        <f t="shared" si="17"/>
        <v>6000</v>
      </c>
      <c r="P62" s="84"/>
    </row>
    <row r="63" ht="34.9" customHeight="1" spans="1:16">
      <c r="A63" s="49"/>
      <c r="B63" s="47"/>
      <c r="C63" s="48" t="s">
        <v>219</v>
      </c>
      <c r="D63" s="28" t="s">
        <v>152</v>
      </c>
      <c r="E63" s="57" t="s">
        <v>220</v>
      </c>
      <c r="F63" s="14">
        <v>0</v>
      </c>
      <c r="G63" s="14" t="s">
        <v>14</v>
      </c>
      <c r="H63" s="14">
        <v>0</v>
      </c>
      <c r="I63" s="14">
        <f t="shared" si="13"/>
        <v>0</v>
      </c>
      <c r="J63" s="75">
        <v>20000</v>
      </c>
      <c r="K63" s="76">
        <f t="shared" si="14"/>
        <v>14000</v>
      </c>
      <c r="L63" s="76">
        <f>J63*0.6</f>
        <v>12000</v>
      </c>
      <c r="M63" s="85">
        <f t="shared" si="15"/>
        <v>0</v>
      </c>
      <c r="N63" s="85">
        <f t="shared" si="16"/>
        <v>0</v>
      </c>
      <c r="O63" s="85">
        <f t="shared" si="17"/>
        <v>0</v>
      </c>
      <c r="P63" s="88" t="s">
        <v>221</v>
      </c>
    </row>
    <row r="64" ht="34.9" customHeight="1" spans="1:16">
      <c r="A64" s="49"/>
      <c r="B64" s="48" t="s">
        <v>222</v>
      </c>
      <c r="C64" s="48" t="s">
        <v>223</v>
      </c>
      <c r="D64" s="28" t="s">
        <v>152</v>
      </c>
      <c r="E64" s="57" t="s">
        <v>224</v>
      </c>
      <c r="F64" s="14">
        <v>0</v>
      </c>
      <c r="G64" s="14" t="s">
        <v>14</v>
      </c>
      <c r="H64" s="14">
        <v>0</v>
      </c>
      <c r="I64" s="14">
        <f t="shared" si="13"/>
        <v>0</v>
      </c>
      <c r="J64" s="75">
        <v>15000</v>
      </c>
      <c r="K64" s="76">
        <f t="shared" si="14"/>
        <v>10500</v>
      </c>
      <c r="L64" s="76">
        <f>J64*0.6</f>
        <v>9000</v>
      </c>
      <c r="M64" s="85">
        <f t="shared" si="15"/>
        <v>0</v>
      </c>
      <c r="N64" s="85">
        <f t="shared" si="16"/>
        <v>0</v>
      </c>
      <c r="O64" s="85">
        <f t="shared" si="17"/>
        <v>0</v>
      </c>
      <c r="P64" s="84" t="s">
        <v>225</v>
      </c>
    </row>
    <row r="65" ht="34.9" customHeight="1" spans="1:16">
      <c r="A65" s="49"/>
      <c r="B65" s="48"/>
      <c r="C65" s="48" t="s">
        <v>226</v>
      </c>
      <c r="D65" s="28" t="s">
        <v>152</v>
      </c>
      <c r="E65" s="57" t="s">
        <v>227</v>
      </c>
      <c r="F65" s="14">
        <v>0</v>
      </c>
      <c r="G65" s="14" t="s">
        <v>14</v>
      </c>
      <c r="H65" s="14">
        <v>0</v>
      </c>
      <c r="I65" s="14">
        <f t="shared" si="13"/>
        <v>0</v>
      </c>
      <c r="J65" s="75">
        <v>10000</v>
      </c>
      <c r="K65" s="76">
        <f t="shared" si="14"/>
        <v>7000</v>
      </c>
      <c r="L65" s="76">
        <f>J65*0.6</f>
        <v>6000</v>
      </c>
      <c r="M65" s="85">
        <f t="shared" si="15"/>
        <v>0</v>
      </c>
      <c r="N65" s="85">
        <f t="shared" si="16"/>
        <v>0</v>
      </c>
      <c r="O65" s="85">
        <f t="shared" si="17"/>
        <v>0</v>
      </c>
      <c r="P65" s="84"/>
    </row>
    <row r="66" s="13" customFormat="1" ht="34.9" customHeight="1" spans="1:16">
      <c r="A66" s="93"/>
      <c r="B66" s="94" t="s">
        <v>228</v>
      </c>
      <c r="C66" s="94" t="s">
        <v>229</v>
      </c>
      <c r="D66" s="36" t="s">
        <v>152</v>
      </c>
      <c r="E66" s="60" t="s">
        <v>230</v>
      </c>
      <c r="F66" s="99">
        <v>1</v>
      </c>
      <c r="G66" s="36" t="s">
        <v>14</v>
      </c>
      <c r="H66" s="36" t="s">
        <v>231</v>
      </c>
      <c r="I66" s="77" t="s">
        <v>231</v>
      </c>
      <c r="J66" s="77" t="s">
        <v>231</v>
      </c>
      <c r="K66" s="77" t="s">
        <v>231</v>
      </c>
      <c r="L66" s="77" t="s">
        <v>231</v>
      </c>
      <c r="M66" s="87"/>
      <c r="N66" s="87"/>
      <c r="O66" s="87"/>
      <c r="P66" s="60" t="s">
        <v>232</v>
      </c>
    </row>
    <row r="67" ht="34.9" customHeight="1" spans="1:16">
      <c r="A67" s="49"/>
      <c r="B67" s="48" t="s">
        <v>233</v>
      </c>
      <c r="C67" s="48" t="s">
        <v>234</v>
      </c>
      <c r="D67" s="28" t="s">
        <v>152</v>
      </c>
      <c r="E67" s="57" t="s">
        <v>235</v>
      </c>
      <c r="F67" s="72">
        <v>1</v>
      </c>
      <c r="G67" s="72" t="s">
        <v>14</v>
      </c>
      <c r="H67" s="72">
        <v>0</v>
      </c>
      <c r="I67" s="72">
        <v>0</v>
      </c>
      <c r="J67" s="75">
        <v>5000</v>
      </c>
      <c r="K67" s="76">
        <f>J67*0.7</f>
        <v>3500</v>
      </c>
      <c r="L67" s="76">
        <f>J67*0.6</f>
        <v>3000</v>
      </c>
      <c r="M67" s="74">
        <f>F67*J67</f>
        <v>5000</v>
      </c>
      <c r="N67" s="74">
        <f>K67*F67</f>
        <v>3500</v>
      </c>
      <c r="O67" s="74">
        <f>L67*F67</f>
        <v>3000</v>
      </c>
      <c r="P67" s="84"/>
    </row>
    <row r="68" ht="45.75" customHeight="1" spans="1:16">
      <c r="A68" s="49"/>
      <c r="B68" s="48"/>
      <c r="C68" s="48" t="s">
        <v>236</v>
      </c>
      <c r="D68" s="28" t="s">
        <v>152</v>
      </c>
      <c r="E68" s="57" t="s">
        <v>237</v>
      </c>
      <c r="F68" s="5"/>
      <c r="G68" s="5"/>
      <c r="H68" s="5"/>
      <c r="I68" s="5"/>
      <c r="J68" s="105"/>
      <c r="K68" s="106"/>
      <c r="L68" s="106"/>
      <c r="M68" s="5"/>
      <c r="N68" s="5"/>
      <c r="O68" s="5"/>
      <c r="P68" s="91"/>
    </row>
    <row r="69" ht="29.25" customHeight="1" spans="1:16">
      <c r="A69" s="48" t="s">
        <v>238</v>
      </c>
      <c r="B69" s="95" t="s">
        <v>239</v>
      </c>
      <c r="C69" s="96" t="s">
        <v>240</v>
      </c>
      <c r="D69" s="28" t="s">
        <v>152</v>
      </c>
      <c r="E69" s="100" t="s">
        <v>241</v>
      </c>
      <c r="F69" s="72">
        <v>1</v>
      </c>
      <c r="G69" s="14" t="s">
        <v>14</v>
      </c>
      <c r="H69" s="14">
        <v>0</v>
      </c>
      <c r="I69" s="14">
        <f t="shared" ref="I69:I80" si="18">H69*2000</f>
        <v>0</v>
      </c>
      <c r="J69" s="75">
        <v>70000</v>
      </c>
      <c r="K69" s="75">
        <f>J69*0.7</f>
        <v>49000</v>
      </c>
      <c r="L69" s="75">
        <f>J69*0.6</f>
        <v>42000</v>
      </c>
      <c r="M69" s="74">
        <f>F69*J69</f>
        <v>70000</v>
      </c>
      <c r="N69" s="74">
        <f>K69*F69</f>
        <v>49000</v>
      </c>
      <c r="O69" s="74">
        <f>L69*F69</f>
        <v>42000</v>
      </c>
      <c r="P69" s="84"/>
    </row>
    <row r="70" ht="29.25" customHeight="1" spans="1:16">
      <c r="A70" s="48"/>
      <c r="B70" s="49"/>
      <c r="C70" s="96" t="s">
        <v>242</v>
      </c>
      <c r="D70" s="28" t="s">
        <v>152</v>
      </c>
      <c r="E70" s="100" t="s">
        <v>243</v>
      </c>
      <c r="F70" s="4"/>
      <c r="G70" s="14" t="s">
        <v>14</v>
      </c>
      <c r="H70" s="14">
        <v>0</v>
      </c>
      <c r="I70" s="14">
        <f t="shared" si="18"/>
        <v>0</v>
      </c>
      <c r="J70" s="106"/>
      <c r="K70" s="106"/>
      <c r="L70" s="106"/>
      <c r="M70" s="4"/>
      <c r="N70" s="4"/>
      <c r="O70" s="4"/>
      <c r="P70" s="84"/>
    </row>
    <row r="71" ht="29.25" customHeight="1" spans="1:16">
      <c r="A71" s="48"/>
      <c r="B71" s="49"/>
      <c r="C71" s="96" t="s">
        <v>244</v>
      </c>
      <c r="D71" s="28" t="s">
        <v>152</v>
      </c>
      <c r="E71" s="100" t="s">
        <v>245</v>
      </c>
      <c r="F71" s="5"/>
      <c r="G71" s="14" t="s">
        <v>14</v>
      </c>
      <c r="H71" s="14">
        <v>0</v>
      </c>
      <c r="I71" s="14">
        <f t="shared" si="18"/>
        <v>0</v>
      </c>
      <c r="J71" s="106"/>
      <c r="K71" s="106"/>
      <c r="L71" s="106"/>
      <c r="M71" s="5"/>
      <c r="N71" s="5"/>
      <c r="O71" s="5"/>
      <c r="P71" s="84"/>
    </row>
    <row r="72" ht="29.25" customHeight="1" spans="1:16">
      <c r="A72" s="48"/>
      <c r="B72" s="48" t="s">
        <v>246</v>
      </c>
      <c r="C72" s="96" t="s">
        <v>247</v>
      </c>
      <c r="D72" s="28" t="s">
        <v>152</v>
      </c>
      <c r="E72" s="100" t="s">
        <v>248</v>
      </c>
      <c r="F72" s="101">
        <v>1</v>
      </c>
      <c r="G72" s="14" t="s">
        <v>14</v>
      </c>
      <c r="H72" s="14">
        <v>0</v>
      </c>
      <c r="I72" s="14">
        <f t="shared" si="18"/>
        <v>0</v>
      </c>
      <c r="J72" s="75">
        <v>70000</v>
      </c>
      <c r="K72" s="75">
        <f>J72*0.7</f>
        <v>49000</v>
      </c>
      <c r="L72" s="75">
        <f>J72*0.6</f>
        <v>42000</v>
      </c>
      <c r="M72" s="74">
        <f>F72*J72</f>
        <v>70000</v>
      </c>
      <c r="N72" s="74">
        <f>K72*F72</f>
        <v>49000</v>
      </c>
      <c r="O72" s="74">
        <f>L72*F72</f>
        <v>42000</v>
      </c>
      <c r="P72" s="84"/>
    </row>
    <row r="73" ht="29.25" customHeight="1" spans="1:16">
      <c r="A73" s="48"/>
      <c r="B73" s="48"/>
      <c r="C73" s="96" t="s">
        <v>249</v>
      </c>
      <c r="D73" s="28" t="s">
        <v>152</v>
      </c>
      <c r="E73" s="100" t="s">
        <v>250</v>
      </c>
      <c r="F73" s="102"/>
      <c r="G73" s="14" t="s">
        <v>14</v>
      </c>
      <c r="H73" s="14">
        <v>0</v>
      </c>
      <c r="I73" s="14">
        <f t="shared" si="18"/>
        <v>0</v>
      </c>
      <c r="J73" s="106"/>
      <c r="K73" s="106"/>
      <c r="L73" s="106"/>
      <c r="M73" s="4"/>
      <c r="N73" s="4"/>
      <c r="O73" s="4"/>
      <c r="P73" s="84"/>
    </row>
    <row r="74" ht="29.25" customHeight="1" spans="1:16">
      <c r="A74" s="48"/>
      <c r="B74" s="48"/>
      <c r="C74" s="96" t="s">
        <v>251</v>
      </c>
      <c r="D74" s="28" t="s">
        <v>152</v>
      </c>
      <c r="E74" s="100" t="s">
        <v>252</v>
      </c>
      <c r="F74" s="103"/>
      <c r="G74" s="14" t="s">
        <v>14</v>
      </c>
      <c r="H74" s="14">
        <v>0</v>
      </c>
      <c r="I74" s="14">
        <f t="shared" si="18"/>
        <v>0</v>
      </c>
      <c r="J74" s="106"/>
      <c r="K74" s="106"/>
      <c r="L74" s="106"/>
      <c r="M74" s="5"/>
      <c r="N74" s="5"/>
      <c r="O74" s="5"/>
      <c r="P74" s="84"/>
    </row>
    <row r="75" ht="29.25" customHeight="1" spans="1:16">
      <c r="A75" s="48"/>
      <c r="B75" s="96" t="s">
        <v>253</v>
      </c>
      <c r="C75" s="96" t="s">
        <v>254</v>
      </c>
      <c r="D75" s="28" t="s">
        <v>152</v>
      </c>
      <c r="E75" s="104" t="s">
        <v>255</v>
      </c>
      <c r="F75" s="72">
        <v>1</v>
      </c>
      <c r="G75" s="14" t="s">
        <v>14</v>
      </c>
      <c r="H75" s="14">
        <v>0</v>
      </c>
      <c r="I75" s="14">
        <f t="shared" si="18"/>
        <v>0</v>
      </c>
      <c r="J75" s="75">
        <v>30000</v>
      </c>
      <c r="K75" s="75">
        <f>J75*0.7</f>
        <v>21000</v>
      </c>
      <c r="L75" s="75">
        <f>J75*0.6</f>
        <v>18000</v>
      </c>
      <c r="M75" s="74">
        <f>F75*J75</f>
        <v>30000</v>
      </c>
      <c r="N75" s="74">
        <f>K75*F75</f>
        <v>21000</v>
      </c>
      <c r="O75" s="74">
        <f>L75*F75</f>
        <v>18000</v>
      </c>
      <c r="P75" s="84"/>
    </row>
    <row r="76" ht="29.25" customHeight="1" spans="1:16">
      <c r="A76" s="48"/>
      <c r="B76" s="49"/>
      <c r="C76" s="96" t="s">
        <v>256</v>
      </c>
      <c r="D76" s="28" t="s">
        <v>152</v>
      </c>
      <c r="E76" s="104" t="s">
        <v>257</v>
      </c>
      <c r="F76" s="4"/>
      <c r="G76" s="14" t="s">
        <v>14</v>
      </c>
      <c r="H76" s="14">
        <v>0</v>
      </c>
      <c r="I76" s="14">
        <f t="shared" si="18"/>
        <v>0</v>
      </c>
      <c r="J76" s="106"/>
      <c r="K76" s="106"/>
      <c r="L76" s="106"/>
      <c r="M76" s="4"/>
      <c r="N76" s="4"/>
      <c r="O76" s="4"/>
      <c r="P76" s="84"/>
    </row>
    <row r="77" ht="29.25" customHeight="1" spans="1:16">
      <c r="A77" s="48"/>
      <c r="B77" s="49"/>
      <c r="C77" s="96" t="s">
        <v>258</v>
      </c>
      <c r="D77" s="28" t="s">
        <v>152</v>
      </c>
      <c r="E77" s="104" t="s">
        <v>259</v>
      </c>
      <c r="F77" s="5"/>
      <c r="G77" s="14" t="s">
        <v>14</v>
      </c>
      <c r="H77" s="14">
        <v>0</v>
      </c>
      <c r="I77" s="14">
        <f t="shared" si="18"/>
        <v>0</v>
      </c>
      <c r="J77" s="106"/>
      <c r="K77" s="106"/>
      <c r="L77" s="106"/>
      <c r="M77" s="5"/>
      <c r="N77" s="5"/>
      <c r="O77" s="5"/>
      <c r="P77" s="84"/>
    </row>
    <row r="78" ht="29.25" customHeight="1" spans="1:16">
      <c r="A78" s="48"/>
      <c r="B78" s="96" t="s">
        <v>260</v>
      </c>
      <c r="C78" s="96" t="s">
        <v>261</v>
      </c>
      <c r="D78" s="28" t="s">
        <v>152</v>
      </c>
      <c r="E78" s="104" t="s">
        <v>262</v>
      </c>
      <c r="F78" s="70">
        <v>1</v>
      </c>
      <c r="G78" s="14" t="s">
        <v>14</v>
      </c>
      <c r="H78" s="14">
        <v>0</v>
      </c>
      <c r="I78" s="14">
        <f t="shared" si="18"/>
        <v>0</v>
      </c>
      <c r="J78" s="75">
        <v>10000</v>
      </c>
      <c r="K78" s="76">
        <f>J78*0.7</f>
        <v>7000</v>
      </c>
      <c r="L78" s="76">
        <f>J78*0.6</f>
        <v>6000</v>
      </c>
      <c r="M78" s="85">
        <f>F78*J78</f>
        <v>10000</v>
      </c>
      <c r="N78" s="85">
        <f>K78*F78</f>
        <v>7000</v>
      </c>
      <c r="O78" s="85">
        <f>L78*F78</f>
        <v>6000</v>
      </c>
      <c r="P78" s="84"/>
    </row>
    <row r="79" ht="29.25" customHeight="1" spans="1:16">
      <c r="A79" s="51" t="s">
        <v>123</v>
      </c>
      <c r="B79" s="51" t="s">
        <v>263</v>
      </c>
      <c r="C79" s="48" t="s">
        <v>264</v>
      </c>
      <c r="D79" s="36" t="s">
        <v>152</v>
      </c>
      <c r="E79" s="104" t="s">
        <v>265</v>
      </c>
      <c r="F79" s="70">
        <v>1</v>
      </c>
      <c r="G79" s="14" t="s">
        <v>14</v>
      </c>
      <c r="H79" s="14">
        <v>0</v>
      </c>
      <c r="I79" s="14">
        <f t="shared" si="18"/>
        <v>0</v>
      </c>
      <c r="J79" s="14">
        <v>10000</v>
      </c>
      <c r="K79" s="14">
        <v>10000</v>
      </c>
      <c r="L79" s="14">
        <v>10000</v>
      </c>
      <c r="M79" s="85">
        <f>F79*J79</f>
        <v>10000</v>
      </c>
      <c r="N79" s="85">
        <f>K79*F79</f>
        <v>10000</v>
      </c>
      <c r="O79" s="85">
        <f>L79*F79</f>
        <v>10000</v>
      </c>
      <c r="P79" s="84"/>
    </row>
    <row r="80" ht="29.25" customHeight="1" spans="1:16">
      <c r="A80" s="4"/>
      <c r="B80" s="4"/>
      <c r="C80" s="96" t="s">
        <v>266</v>
      </c>
      <c r="D80" s="36" t="s">
        <v>152</v>
      </c>
      <c r="E80" s="104" t="s">
        <v>267</v>
      </c>
      <c r="F80" s="70">
        <v>1</v>
      </c>
      <c r="G80" s="14" t="s">
        <v>14</v>
      </c>
      <c r="H80" s="14">
        <v>0</v>
      </c>
      <c r="I80" s="14">
        <f t="shared" si="18"/>
        <v>0</v>
      </c>
      <c r="J80" s="14">
        <v>16000</v>
      </c>
      <c r="K80" s="14">
        <v>16000</v>
      </c>
      <c r="L80" s="14">
        <v>16000</v>
      </c>
      <c r="M80" s="85">
        <f>F80*J80</f>
        <v>16000</v>
      </c>
      <c r="N80" s="85">
        <f>K80*F80</f>
        <v>16000</v>
      </c>
      <c r="O80" s="85">
        <f>L80*F80</f>
        <v>16000</v>
      </c>
      <c r="P80" s="84"/>
    </row>
    <row r="81" ht="29.25" customHeight="1" spans="1:16">
      <c r="A81" s="4"/>
      <c r="B81" s="4"/>
      <c r="C81" s="96" t="s">
        <v>268</v>
      </c>
      <c r="D81" s="36" t="s">
        <v>152</v>
      </c>
      <c r="E81" s="104" t="s">
        <v>269</v>
      </c>
      <c r="F81" s="14">
        <v>0</v>
      </c>
      <c r="G81" s="14" t="s">
        <v>14</v>
      </c>
      <c r="H81" s="14"/>
      <c r="I81" s="14"/>
      <c r="J81" s="14"/>
      <c r="K81" s="14"/>
      <c r="L81" s="14"/>
      <c r="M81" s="14"/>
      <c r="N81" s="14"/>
      <c r="O81" s="14"/>
      <c r="P81" s="84"/>
    </row>
    <row r="82" ht="29.25" customHeight="1" spans="1:17">
      <c r="A82" s="41" t="s">
        <v>270</v>
      </c>
      <c r="B82" s="41" t="s">
        <v>271</v>
      </c>
      <c r="C82" s="41" t="s">
        <v>272</v>
      </c>
      <c r="D82" s="28" t="s">
        <v>152</v>
      </c>
      <c r="E82" s="58" t="s">
        <v>273</v>
      </c>
      <c r="F82" s="14">
        <v>0</v>
      </c>
      <c r="G82" s="14" t="s">
        <v>14</v>
      </c>
      <c r="H82" s="14">
        <v>10</v>
      </c>
      <c r="I82" s="14">
        <f t="shared" ref="I82:I91" si="19">H82*2000</f>
        <v>20000</v>
      </c>
      <c r="J82" s="75">
        <f t="shared" ref="J82:J91" si="20">H82*3000</f>
        <v>30000</v>
      </c>
      <c r="K82" s="76">
        <f t="shared" ref="K82:K91" si="21">J82*0.7</f>
        <v>21000</v>
      </c>
      <c r="L82" s="76">
        <f t="shared" ref="L82:L91" si="22">I82*F82</f>
        <v>0</v>
      </c>
      <c r="M82" s="85">
        <f t="shared" ref="M82:M91" si="23">F82*J82</f>
        <v>0</v>
      </c>
      <c r="N82" s="85">
        <f t="shared" ref="N82:N91" si="24">K82*F82</f>
        <v>0</v>
      </c>
      <c r="O82" s="85">
        <f t="shared" ref="O82:O91" si="25">L82*F82</f>
        <v>0</v>
      </c>
      <c r="P82" s="91" t="s">
        <v>274</v>
      </c>
      <c r="Q82" s="108"/>
    </row>
    <row r="83" ht="29.25" customHeight="1" spans="1:17">
      <c r="A83" s="41"/>
      <c r="B83" s="41"/>
      <c r="C83" s="41" t="s">
        <v>275</v>
      </c>
      <c r="D83" s="28" t="s">
        <v>152</v>
      </c>
      <c r="E83" s="58" t="s">
        <v>276</v>
      </c>
      <c r="F83" s="14">
        <v>0</v>
      </c>
      <c r="G83" s="14" t="s">
        <v>14</v>
      </c>
      <c r="H83" s="14">
        <v>10</v>
      </c>
      <c r="I83" s="14">
        <f t="shared" si="19"/>
        <v>20000</v>
      </c>
      <c r="J83" s="75">
        <f t="shared" si="20"/>
        <v>30000</v>
      </c>
      <c r="K83" s="76">
        <f t="shared" si="21"/>
        <v>21000</v>
      </c>
      <c r="L83" s="76">
        <f t="shared" si="22"/>
        <v>0</v>
      </c>
      <c r="M83" s="85">
        <f t="shared" si="23"/>
        <v>0</v>
      </c>
      <c r="N83" s="85">
        <f t="shared" si="24"/>
        <v>0</v>
      </c>
      <c r="O83" s="85">
        <f t="shared" si="25"/>
        <v>0</v>
      </c>
      <c r="P83" s="91" t="s">
        <v>274</v>
      </c>
      <c r="Q83" s="108"/>
    </row>
    <row r="84" ht="29.25" customHeight="1" spans="1:17">
      <c r="A84" s="41"/>
      <c r="B84" s="41"/>
      <c r="C84" s="41" t="s">
        <v>277</v>
      </c>
      <c r="D84" s="28" t="s">
        <v>152</v>
      </c>
      <c r="E84" s="58" t="s">
        <v>278</v>
      </c>
      <c r="F84" s="14">
        <v>0</v>
      </c>
      <c r="G84" s="14" t="s">
        <v>14</v>
      </c>
      <c r="H84" s="14">
        <v>10</v>
      </c>
      <c r="I84" s="14">
        <f t="shared" si="19"/>
        <v>20000</v>
      </c>
      <c r="J84" s="75">
        <f t="shared" si="20"/>
        <v>30000</v>
      </c>
      <c r="K84" s="76">
        <f t="shared" si="21"/>
        <v>21000</v>
      </c>
      <c r="L84" s="76">
        <f t="shared" si="22"/>
        <v>0</v>
      </c>
      <c r="M84" s="85">
        <f t="shared" si="23"/>
        <v>0</v>
      </c>
      <c r="N84" s="85">
        <f t="shared" si="24"/>
        <v>0</v>
      </c>
      <c r="O84" s="85">
        <f t="shared" si="25"/>
        <v>0</v>
      </c>
      <c r="P84" s="91" t="s">
        <v>274</v>
      </c>
      <c r="Q84" s="108"/>
    </row>
    <row r="85" ht="29.25" customHeight="1" spans="1:17">
      <c r="A85" s="41"/>
      <c r="B85" s="41" t="s">
        <v>279</v>
      </c>
      <c r="C85" s="41" t="s">
        <v>280</v>
      </c>
      <c r="D85" s="28" t="s">
        <v>152</v>
      </c>
      <c r="E85" s="58" t="s">
        <v>281</v>
      </c>
      <c r="F85" s="70">
        <v>1</v>
      </c>
      <c r="G85" s="14" t="s">
        <v>14</v>
      </c>
      <c r="H85" s="14">
        <v>10</v>
      </c>
      <c r="I85" s="14">
        <f t="shared" si="19"/>
        <v>20000</v>
      </c>
      <c r="J85" s="75">
        <f t="shared" si="20"/>
        <v>30000</v>
      </c>
      <c r="K85" s="76">
        <f t="shared" si="21"/>
        <v>21000</v>
      </c>
      <c r="L85" s="76">
        <f t="shared" si="22"/>
        <v>20000</v>
      </c>
      <c r="M85" s="85">
        <f t="shared" si="23"/>
        <v>30000</v>
      </c>
      <c r="N85" s="85">
        <f t="shared" si="24"/>
        <v>21000</v>
      </c>
      <c r="O85" s="85">
        <f t="shared" si="25"/>
        <v>20000</v>
      </c>
      <c r="P85" s="91" t="s">
        <v>282</v>
      </c>
      <c r="Q85" s="108"/>
    </row>
    <row r="86" ht="29.25" customHeight="1" spans="1:17">
      <c r="A86" s="41"/>
      <c r="B86" s="41"/>
      <c r="C86" s="41" t="s">
        <v>283</v>
      </c>
      <c r="D86" s="28" t="s">
        <v>152</v>
      </c>
      <c r="E86" s="58" t="s">
        <v>284</v>
      </c>
      <c r="F86" s="14">
        <v>0</v>
      </c>
      <c r="G86" s="14" t="s">
        <v>14</v>
      </c>
      <c r="H86" s="14">
        <v>10</v>
      </c>
      <c r="I86" s="14">
        <f t="shared" si="19"/>
        <v>20000</v>
      </c>
      <c r="J86" s="75">
        <f t="shared" si="20"/>
        <v>30000</v>
      </c>
      <c r="K86" s="76">
        <f t="shared" si="21"/>
        <v>21000</v>
      </c>
      <c r="L86" s="76">
        <f t="shared" si="22"/>
        <v>0</v>
      </c>
      <c r="M86" s="85">
        <f t="shared" si="23"/>
        <v>0</v>
      </c>
      <c r="N86" s="85">
        <f t="shared" si="24"/>
        <v>0</v>
      </c>
      <c r="O86" s="85">
        <f t="shared" si="25"/>
        <v>0</v>
      </c>
      <c r="P86" s="91" t="s">
        <v>282</v>
      </c>
      <c r="Q86" s="108"/>
    </row>
    <row r="87" ht="29.25" customHeight="1" spans="1:17">
      <c r="A87" s="41"/>
      <c r="B87" s="41"/>
      <c r="C87" s="41" t="s">
        <v>285</v>
      </c>
      <c r="D87" s="28" t="s">
        <v>152</v>
      </c>
      <c r="E87" s="58" t="s">
        <v>286</v>
      </c>
      <c r="F87" s="14">
        <v>0</v>
      </c>
      <c r="G87" s="14" t="s">
        <v>14</v>
      </c>
      <c r="H87" s="14">
        <v>10</v>
      </c>
      <c r="I87" s="14">
        <f t="shared" si="19"/>
        <v>20000</v>
      </c>
      <c r="J87" s="75">
        <f t="shared" si="20"/>
        <v>30000</v>
      </c>
      <c r="K87" s="76">
        <f t="shared" si="21"/>
        <v>21000</v>
      </c>
      <c r="L87" s="76">
        <f t="shared" si="22"/>
        <v>0</v>
      </c>
      <c r="M87" s="85">
        <f t="shared" si="23"/>
        <v>0</v>
      </c>
      <c r="N87" s="85">
        <f t="shared" si="24"/>
        <v>0</v>
      </c>
      <c r="O87" s="85">
        <f t="shared" si="25"/>
        <v>0</v>
      </c>
      <c r="P87" s="91" t="s">
        <v>282</v>
      </c>
      <c r="Q87" s="108"/>
    </row>
    <row r="88" ht="29.25" customHeight="1" spans="1:17">
      <c r="A88" s="41"/>
      <c r="B88" s="41"/>
      <c r="C88" s="41" t="s">
        <v>287</v>
      </c>
      <c r="D88" s="28" t="s">
        <v>152</v>
      </c>
      <c r="E88" s="58" t="s">
        <v>288</v>
      </c>
      <c r="F88" s="14">
        <v>0</v>
      </c>
      <c r="G88" s="14" t="s">
        <v>14</v>
      </c>
      <c r="H88" s="14">
        <v>10</v>
      </c>
      <c r="I88" s="14">
        <f t="shared" si="19"/>
        <v>20000</v>
      </c>
      <c r="J88" s="75">
        <f t="shared" si="20"/>
        <v>30000</v>
      </c>
      <c r="K88" s="76">
        <f t="shared" si="21"/>
        <v>21000</v>
      </c>
      <c r="L88" s="76">
        <f t="shared" si="22"/>
        <v>0</v>
      </c>
      <c r="M88" s="85">
        <f t="shared" si="23"/>
        <v>0</v>
      </c>
      <c r="N88" s="85">
        <f t="shared" si="24"/>
        <v>0</v>
      </c>
      <c r="O88" s="85">
        <f t="shared" si="25"/>
        <v>0</v>
      </c>
      <c r="P88" s="91" t="s">
        <v>289</v>
      </c>
      <c r="Q88" s="108"/>
    </row>
    <row r="89" ht="29.25" customHeight="1" spans="1:17">
      <c r="A89" s="41"/>
      <c r="B89" s="41" t="s">
        <v>290</v>
      </c>
      <c r="C89" s="41" t="s">
        <v>291</v>
      </c>
      <c r="D89" s="28" t="s">
        <v>152</v>
      </c>
      <c r="E89" s="58" t="s">
        <v>292</v>
      </c>
      <c r="F89" s="14">
        <v>0</v>
      </c>
      <c r="G89" s="14" t="s">
        <v>14</v>
      </c>
      <c r="H89" s="14">
        <v>10</v>
      </c>
      <c r="I89" s="14">
        <f t="shared" si="19"/>
        <v>20000</v>
      </c>
      <c r="J89" s="75">
        <f t="shared" si="20"/>
        <v>30000</v>
      </c>
      <c r="K89" s="76">
        <f t="shared" si="21"/>
        <v>21000</v>
      </c>
      <c r="L89" s="76">
        <f t="shared" si="22"/>
        <v>0</v>
      </c>
      <c r="M89" s="85">
        <f t="shared" si="23"/>
        <v>0</v>
      </c>
      <c r="N89" s="85">
        <f t="shared" si="24"/>
        <v>0</v>
      </c>
      <c r="O89" s="85">
        <f t="shared" si="25"/>
        <v>0</v>
      </c>
      <c r="P89" s="91" t="s">
        <v>289</v>
      </c>
      <c r="Q89" s="108"/>
    </row>
    <row r="90" ht="29.25" customHeight="1" spans="1:17">
      <c r="A90" s="41"/>
      <c r="B90" s="41" t="s">
        <v>293</v>
      </c>
      <c r="C90" s="41" t="s">
        <v>294</v>
      </c>
      <c r="D90" s="28" t="s">
        <v>152</v>
      </c>
      <c r="E90" s="58" t="s">
        <v>295</v>
      </c>
      <c r="F90" s="70">
        <v>1</v>
      </c>
      <c r="G90" s="14" t="s">
        <v>14</v>
      </c>
      <c r="H90" s="14">
        <v>10</v>
      </c>
      <c r="I90" s="14">
        <f t="shared" si="19"/>
        <v>20000</v>
      </c>
      <c r="J90" s="75">
        <f t="shared" si="20"/>
        <v>30000</v>
      </c>
      <c r="K90" s="76">
        <f t="shared" si="21"/>
        <v>21000</v>
      </c>
      <c r="L90" s="76">
        <f t="shared" si="22"/>
        <v>20000</v>
      </c>
      <c r="M90" s="85">
        <f t="shared" si="23"/>
        <v>30000</v>
      </c>
      <c r="N90" s="85">
        <f t="shared" si="24"/>
        <v>21000</v>
      </c>
      <c r="O90" s="85">
        <f t="shared" si="25"/>
        <v>20000</v>
      </c>
      <c r="P90" s="91" t="s">
        <v>289</v>
      </c>
      <c r="Q90" s="108"/>
    </row>
    <row r="91" ht="29.25" customHeight="1" spans="1:17">
      <c r="A91" s="41"/>
      <c r="B91" s="41" t="s">
        <v>296</v>
      </c>
      <c r="C91" s="41" t="s">
        <v>297</v>
      </c>
      <c r="D91" s="28" t="s">
        <v>152</v>
      </c>
      <c r="E91" s="58" t="s">
        <v>298</v>
      </c>
      <c r="F91" s="14">
        <v>0</v>
      </c>
      <c r="G91" s="14" t="s">
        <v>14</v>
      </c>
      <c r="H91" s="14">
        <v>10</v>
      </c>
      <c r="I91" s="14">
        <f t="shared" si="19"/>
        <v>20000</v>
      </c>
      <c r="J91" s="75">
        <f t="shared" si="20"/>
        <v>30000</v>
      </c>
      <c r="K91" s="76">
        <f t="shared" si="21"/>
        <v>21000</v>
      </c>
      <c r="L91" s="76">
        <f t="shared" si="22"/>
        <v>0</v>
      </c>
      <c r="M91" s="85">
        <f t="shared" si="23"/>
        <v>0</v>
      </c>
      <c r="N91" s="85">
        <f t="shared" si="24"/>
        <v>0</v>
      </c>
      <c r="O91" s="85">
        <f t="shared" si="25"/>
        <v>0</v>
      </c>
      <c r="P91" s="84" t="s">
        <v>299</v>
      </c>
      <c r="Q91" s="108"/>
    </row>
    <row r="92" ht="29.25" customHeight="1" spans="1:17">
      <c r="A92" s="41" t="s">
        <v>300</v>
      </c>
      <c r="B92" s="41" t="s">
        <v>300</v>
      </c>
      <c r="C92" s="41" t="s">
        <v>300</v>
      </c>
      <c r="D92" s="28" t="s">
        <v>152</v>
      </c>
      <c r="E92" s="58" t="s">
        <v>301</v>
      </c>
      <c r="F92" s="14">
        <v>0</v>
      </c>
      <c r="G92" s="14" t="s">
        <v>14</v>
      </c>
      <c r="H92" s="14" t="s">
        <v>231</v>
      </c>
      <c r="I92" s="14" t="s">
        <v>231</v>
      </c>
      <c r="J92" s="75" t="s">
        <v>231</v>
      </c>
      <c r="K92" s="75" t="s">
        <v>231</v>
      </c>
      <c r="L92" s="75" t="s">
        <v>231</v>
      </c>
      <c r="M92" s="85"/>
      <c r="N92" s="85"/>
      <c r="O92" s="85"/>
      <c r="P92" s="84" t="s">
        <v>299</v>
      </c>
      <c r="Q92" s="108"/>
    </row>
    <row r="93" ht="46.2" customHeight="1" spans="1:17">
      <c r="A93" s="41" t="s">
        <v>302</v>
      </c>
      <c r="B93" s="41" t="s">
        <v>303</v>
      </c>
      <c r="C93" s="41" t="s">
        <v>304</v>
      </c>
      <c r="D93" s="28" t="s">
        <v>152</v>
      </c>
      <c r="E93" s="57" t="s">
        <v>305</v>
      </c>
      <c r="F93" s="14">
        <v>0</v>
      </c>
      <c r="G93" s="14" t="s">
        <v>14</v>
      </c>
      <c r="H93" s="14" t="s">
        <v>231</v>
      </c>
      <c r="I93" s="14" t="s">
        <v>231</v>
      </c>
      <c r="J93" s="75" t="s">
        <v>231</v>
      </c>
      <c r="K93" s="75" t="s">
        <v>231</v>
      </c>
      <c r="L93" s="75" t="s">
        <v>231</v>
      </c>
      <c r="M93" s="85"/>
      <c r="N93" s="85"/>
      <c r="O93" s="85"/>
      <c r="P93" s="84" t="s">
        <v>299</v>
      </c>
      <c r="Q93" s="108"/>
    </row>
    <row r="94" ht="29.25" customHeight="1" spans="1:16">
      <c r="A94" s="97" t="s">
        <v>306</v>
      </c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107"/>
      <c r="M94" s="109">
        <f>SUM(M1:M93)</f>
        <v>5648100</v>
      </c>
      <c r="N94" s="109">
        <f>SUM(N1:N93)</f>
        <v>3971970</v>
      </c>
      <c r="O94" s="109">
        <f>SUM(O1:O93)</f>
        <v>3193850</v>
      </c>
      <c r="P94" s="110"/>
    </row>
    <row r="95" ht="29.25" customHeight="1" spans="1:16">
      <c r="A95" s="14"/>
      <c r="C95" s="14"/>
      <c r="D95" s="28"/>
      <c r="E95" s="57"/>
      <c r="F95" s="14"/>
      <c r="G95" s="14"/>
      <c r="H95" s="14"/>
      <c r="I95" s="108"/>
      <c r="J95" s="75"/>
      <c r="K95" s="75"/>
      <c r="L95" s="108"/>
      <c r="M95" s="14"/>
      <c r="N95" s="14"/>
      <c r="O95" s="14"/>
      <c r="P95" s="111"/>
    </row>
    <row r="96" ht="29.25" customHeight="1" spans="1:16">
      <c r="A96" s="14"/>
      <c r="C96" s="14"/>
      <c r="D96" s="28"/>
      <c r="E96" s="57"/>
      <c r="F96" s="14"/>
      <c r="G96" s="14"/>
      <c r="H96" s="14"/>
      <c r="I96" s="14"/>
      <c r="J96" s="75"/>
      <c r="K96" s="75"/>
      <c r="L96" s="75"/>
      <c r="M96" s="14"/>
      <c r="N96" s="14"/>
      <c r="O96" s="14"/>
      <c r="P96" s="111"/>
    </row>
    <row r="97" ht="29.25" customHeight="1" spans="1:16">
      <c r="A97" s="14"/>
      <c r="C97" s="14"/>
      <c r="D97" s="28"/>
      <c r="E97" s="57"/>
      <c r="F97" s="14"/>
      <c r="G97" s="14"/>
      <c r="H97" s="14"/>
      <c r="I97" s="14"/>
      <c r="J97" s="75"/>
      <c r="K97" s="75"/>
      <c r="L97" s="75"/>
      <c r="M97" s="14"/>
      <c r="N97" s="14"/>
      <c r="O97" s="14"/>
      <c r="P97" s="111"/>
    </row>
    <row r="98" ht="29.25" customHeight="1" spans="1:16">
      <c r="A98" s="14"/>
      <c r="C98" s="14"/>
      <c r="D98" s="28"/>
      <c r="E98" s="57"/>
      <c r="F98" s="14"/>
      <c r="G98" s="14"/>
      <c r="H98" s="14"/>
      <c r="I98" s="14"/>
      <c r="J98" s="75"/>
      <c r="K98" s="75"/>
      <c r="L98" s="75"/>
      <c r="M98" s="14"/>
      <c r="N98" s="14"/>
      <c r="O98" s="14"/>
      <c r="P98" s="111"/>
    </row>
    <row r="99" ht="29.25" customHeight="1" spans="1:16">
      <c r="A99" s="14"/>
      <c r="C99" s="14"/>
      <c r="D99" s="28"/>
      <c r="E99" s="57"/>
      <c r="F99" s="14"/>
      <c r="G99" s="14"/>
      <c r="H99" s="14"/>
      <c r="I99" s="14"/>
      <c r="J99" s="75"/>
      <c r="K99" s="75"/>
      <c r="L99" s="75"/>
      <c r="M99" s="14"/>
      <c r="N99" s="14"/>
      <c r="O99" s="14"/>
      <c r="P99" s="111"/>
    </row>
    <row r="100" ht="29.25" customHeight="1" spans="1:16">
      <c r="A100" s="14"/>
      <c r="C100" s="14"/>
      <c r="D100" s="28"/>
      <c r="E100" s="57"/>
      <c r="F100" s="14"/>
      <c r="G100" s="14"/>
      <c r="H100" s="14"/>
      <c r="I100" s="14"/>
      <c r="J100" s="75"/>
      <c r="K100" s="75"/>
      <c r="L100" s="75"/>
      <c r="M100" s="14"/>
      <c r="N100" s="14"/>
      <c r="O100" s="14"/>
      <c r="P100" s="111"/>
    </row>
    <row r="101" ht="29.25" customHeight="1" spans="1:16">
      <c r="A101" s="14"/>
      <c r="C101" s="14"/>
      <c r="D101" s="28"/>
      <c r="E101" s="57"/>
      <c r="F101" s="14"/>
      <c r="G101" s="14"/>
      <c r="H101" s="14"/>
      <c r="I101" s="14"/>
      <c r="J101" s="75"/>
      <c r="K101" s="75"/>
      <c r="L101" s="75"/>
      <c r="M101" s="14"/>
      <c r="N101" s="14"/>
      <c r="O101" s="14"/>
      <c r="P101" s="111"/>
    </row>
    <row r="102" ht="29.25" customHeight="1" spans="1:16">
      <c r="A102" s="14"/>
      <c r="C102" s="14"/>
      <c r="D102" s="28"/>
      <c r="E102" s="57"/>
      <c r="F102" s="14"/>
      <c r="G102" s="14"/>
      <c r="H102" s="14"/>
      <c r="I102" s="14"/>
      <c r="J102" s="75"/>
      <c r="K102" s="75"/>
      <c r="L102" s="75"/>
      <c r="M102" s="14"/>
      <c r="N102" s="14"/>
      <c r="O102" s="14"/>
      <c r="P102" s="111"/>
    </row>
    <row r="103" ht="29.25" customHeight="1" spans="1:16">
      <c r="A103" s="14"/>
      <c r="C103" s="14"/>
      <c r="D103" s="28"/>
      <c r="E103" s="57"/>
      <c r="F103" s="14"/>
      <c r="G103" s="14"/>
      <c r="H103" s="14"/>
      <c r="I103" s="14"/>
      <c r="J103" s="75"/>
      <c r="K103" s="75"/>
      <c r="L103" s="75"/>
      <c r="M103" s="14"/>
      <c r="N103" s="14"/>
      <c r="O103" s="14"/>
      <c r="P103" s="111"/>
    </row>
    <row r="104" ht="29.25" customHeight="1" spans="1:16">
      <c r="A104" s="14"/>
      <c r="C104" s="14"/>
      <c r="D104" s="28"/>
      <c r="E104" s="57"/>
      <c r="F104" s="14"/>
      <c r="G104" s="14"/>
      <c r="H104" s="14"/>
      <c r="I104" s="14"/>
      <c r="J104" s="75"/>
      <c r="K104" s="75"/>
      <c r="L104" s="75"/>
      <c r="M104" s="14"/>
      <c r="N104" s="14"/>
      <c r="O104" s="14"/>
      <c r="P104" s="111"/>
    </row>
    <row r="105" ht="29.25" customHeight="1" spans="1:16">
      <c r="A105" s="14"/>
      <c r="C105" s="14"/>
      <c r="D105" s="28"/>
      <c r="E105" s="57"/>
      <c r="F105" s="14"/>
      <c r="G105" s="14"/>
      <c r="H105" s="14"/>
      <c r="I105" s="14"/>
      <c r="J105" s="75"/>
      <c r="K105" s="75"/>
      <c r="L105" s="75"/>
      <c r="M105" s="14"/>
      <c r="N105" s="14"/>
      <c r="O105" s="14"/>
      <c r="P105" s="111"/>
    </row>
    <row r="106" ht="29.25" customHeight="1" spans="1:16">
      <c r="A106" s="14"/>
      <c r="C106" s="14"/>
      <c r="D106" s="28"/>
      <c r="E106" s="57"/>
      <c r="F106" s="14"/>
      <c r="G106" s="14"/>
      <c r="H106" s="14"/>
      <c r="I106" s="14"/>
      <c r="J106" s="75"/>
      <c r="K106" s="75"/>
      <c r="L106" s="75"/>
      <c r="M106" s="14"/>
      <c r="N106" s="14"/>
      <c r="O106" s="14"/>
      <c r="P106" s="111"/>
    </row>
    <row r="107" ht="29.25" customHeight="1" spans="1:16">
      <c r="A107" s="14"/>
      <c r="C107" s="14"/>
      <c r="D107" s="28"/>
      <c r="E107" s="57"/>
      <c r="F107" s="14"/>
      <c r="G107" s="14"/>
      <c r="H107" s="14"/>
      <c r="I107" s="14"/>
      <c r="J107" s="75"/>
      <c r="K107" s="75"/>
      <c r="L107" s="75"/>
      <c r="M107" s="14"/>
      <c r="N107" s="14"/>
      <c r="O107" s="14"/>
      <c r="P107" s="111"/>
    </row>
    <row r="108" ht="29.25" customHeight="1" spans="1:16">
      <c r="A108" s="14"/>
      <c r="C108" s="14"/>
      <c r="D108" s="28"/>
      <c r="E108" s="57"/>
      <c r="F108" s="14"/>
      <c r="G108" s="14"/>
      <c r="H108" s="14"/>
      <c r="I108" s="14"/>
      <c r="J108" s="75"/>
      <c r="K108" s="75"/>
      <c r="L108" s="75"/>
      <c r="M108" s="14"/>
      <c r="N108" s="14"/>
      <c r="O108" s="14"/>
      <c r="P108" s="111"/>
    </row>
    <row r="109" ht="29.25" customHeight="1" spans="1:16">
      <c r="A109" s="14"/>
      <c r="C109" s="14"/>
      <c r="D109" s="28"/>
      <c r="E109" s="57"/>
      <c r="F109" s="14"/>
      <c r="G109" s="14"/>
      <c r="H109" s="14"/>
      <c r="I109" s="14"/>
      <c r="J109" s="75"/>
      <c r="K109" s="75"/>
      <c r="L109" s="75"/>
      <c r="M109" s="14"/>
      <c r="N109" s="14"/>
      <c r="O109" s="14"/>
      <c r="P109" s="111"/>
    </row>
    <row r="110" ht="29.25" customHeight="1" spans="1:16">
      <c r="A110" s="14"/>
      <c r="C110" s="14"/>
      <c r="D110" s="28"/>
      <c r="E110" s="57"/>
      <c r="F110" s="14"/>
      <c r="G110" s="14"/>
      <c r="H110" s="14"/>
      <c r="I110" s="14"/>
      <c r="J110" s="75"/>
      <c r="K110" s="75"/>
      <c r="L110" s="75"/>
      <c r="M110" s="14"/>
      <c r="N110" s="14"/>
      <c r="O110" s="14"/>
      <c r="P110" s="111"/>
    </row>
    <row r="111" ht="29.25" customHeight="1" spans="1:16">
      <c r="A111" s="14"/>
      <c r="C111" s="14"/>
      <c r="D111" s="28"/>
      <c r="E111" s="57"/>
      <c r="F111" s="14"/>
      <c r="G111" s="14"/>
      <c r="H111" s="14"/>
      <c r="I111" s="14"/>
      <c r="J111" s="75"/>
      <c r="K111" s="75"/>
      <c r="L111" s="75"/>
      <c r="M111" s="14"/>
      <c r="N111" s="14"/>
      <c r="O111" s="14"/>
      <c r="P111" s="111"/>
    </row>
    <row r="112" ht="29.25" customHeight="1" spans="1:16">
      <c r="A112" s="14"/>
      <c r="C112" s="14"/>
      <c r="D112" s="28"/>
      <c r="E112" s="57"/>
      <c r="F112" s="14"/>
      <c r="G112" s="14"/>
      <c r="H112" s="14"/>
      <c r="I112" s="14"/>
      <c r="J112" s="75"/>
      <c r="K112" s="75"/>
      <c r="L112" s="75"/>
      <c r="M112" s="14"/>
      <c r="N112" s="14"/>
      <c r="O112" s="14"/>
      <c r="P112" s="111"/>
    </row>
    <row r="113" ht="29.25" customHeight="1" spans="1:16">
      <c r="A113" s="14"/>
      <c r="C113" s="14"/>
      <c r="D113" s="28"/>
      <c r="E113" s="57"/>
      <c r="F113" s="14"/>
      <c r="G113" s="14"/>
      <c r="H113" s="14"/>
      <c r="I113" s="14"/>
      <c r="J113" s="75"/>
      <c r="K113" s="75"/>
      <c r="L113" s="75"/>
      <c r="M113" s="14"/>
      <c r="N113" s="14"/>
      <c r="O113" s="14"/>
      <c r="P113" s="111"/>
    </row>
    <row r="114" ht="29.25" customHeight="1" spans="1:16">
      <c r="A114" s="14"/>
      <c r="C114" s="14"/>
      <c r="D114" s="28"/>
      <c r="E114" s="57"/>
      <c r="F114" s="14"/>
      <c r="G114" s="14"/>
      <c r="H114" s="14"/>
      <c r="I114" s="14"/>
      <c r="J114" s="75"/>
      <c r="K114" s="75"/>
      <c r="L114" s="75"/>
      <c r="M114" s="14"/>
      <c r="N114" s="14"/>
      <c r="O114" s="14"/>
      <c r="P114" s="111"/>
    </row>
    <row r="115" ht="29.25" customHeight="1" spans="1:16">
      <c r="A115" s="14"/>
      <c r="C115" s="14"/>
      <c r="D115" s="28"/>
      <c r="E115" s="57"/>
      <c r="F115" s="14"/>
      <c r="G115" s="14"/>
      <c r="H115" s="14"/>
      <c r="I115" s="14"/>
      <c r="J115" s="75"/>
      <c r="K115" s="75"/>
      <c r="L115" s="75"/>
      <c r="M115" s="14"/>
      <c r="N115" s="14"/>
      <c r="O115" s="14"/>
      <c r="P115" s="111"/>
    </row>
    <row r="116" ht="29.25" customHeight="1" spans="1:16">
      <c r="A116" s="14"/>
      <c r="C116" s="14"/>
      <c r="D116" s="28"/>
      <c r="E116" s="57"/>
      <c r="F116" s="14"/>
      <c r="G116" s="14"/>
      <c r="H116" s="14"/>
      <c r="I116" s="14"/>
      <c r="J116" s="75"/>
      <c r="K116" s="75"/>
      <c r="L116" s="75"/>
      <c r="M116" s="14"/>
      <c r="N116" s="14"/>
      <c r="O116" s="14"/>
      <c r="P116" s="111"/>
    </row>
    <row r="117" ht="29.25" customHeight="1" spans="1:16">
      <c r="A117" s="14"/>
      <c r="C117" s="14"/>
      <c r="D117" s="28"/>
      <c r="E117" s="57"/>
      <c r="F117" s="14"/>
      <c r="G117" s="14"/>
      <c r="H117" s="14"/>
      <c r="I117" s="14"/>
      <c r="J117" s="75"/>
      <c r="K117" s="75"/>
      <c r="L117" s="75"/>
      <c r="M117" s="14"/>
      <c r="N117" s="14"/>
      <c r="O117" s="14"/>
      <c r="P117" s="111"/>
    </row>
    <row r="118" ht="29.25" customHeight="1" spans="1:16">
      <c r="A118" s="14"/>
      <c r="C118" s="14"/>
      <c r="D118" s="28"/>
      <c r="E118" s="57"/>
      <c r="F118" s="14"/>
      <c r="G118" s="14"/>
      <c r="H118" s="14"/>
      <c r="I118" s="14"/>
      <c r="J118" s="75"/>
      <c r="K118" s="75"/>
      <c r="L118" s="75"/>
      <c r="M118" s="14"/>
      <c r="N118" s="14"/>
      <c r="O118" s="14"/>
      <c r="P118" s="111"/>
    </row>
    <row r="119" ht="29.25" customHeight="1" spans="1:16">
      <c r="A119" s="14"/>
      <c r="C119" s="14"/>
      <c r="D119" s="28"/>
      <c r="E119" s="57"/>
      <c r="F119" s="14"/>
      <c r="G119" s="14"/>
      <c r="H119" s="14"/>
      <c r="I119" s="14"/>
      <c r="J119" s="75"/>
      <c r="K119" s="75"/>
      <c r="L119" s="75"/>
      <c r="M119" s="14"/>
      <c r="N119" s="14"/>
      <c r="O119" s="14"/>
      <c r="P119" s="111"/>
    </row>
    <row r="120" ht="29.25" customHeight="1" spans="1:16">
      <c r="A120" s="14"/>
      <c r="C120" s="14"/>
      <c r="D120" s="28"/>
      <c r="E120" s="57"/>
      <c r="F120" s="14"/>
      <c r="G120" s="14"/>
      <c r="H120" s="14"/>
      <c r="I120" s="14"/>
      <c r="J120" s="75"/>
      <c r="K120" s="75"/>
      <c r="L120" s="75"/>
      <c r="M120" s="14"/>
      <c r="N120" s="14"/>
      <c r="O120" s="14"/>
      <c r="P120" s="111"/>
    </row>
    <row r="121" ht="29.25" customHeight="1" spans="1:16">
      <c r="A121" s="14"/>
      <c r="C121" s="14"/>
      <c r="D121" s="28"/>
      <c r="E121" s="57"/>
      <c r="F121" s="14"/>
      <c r="G121" s="14"/>
      <c r="H121" s="14"/>
      <c r="I121" s="14"/>
      <c r="J121" s="75"/>
      <c r="K121" s="75"/>
      <c r="L121" s="75"/>
      <c r="M121" s="14"/>
      <c r="N121" s="14"/>
      <c r="O121" s="14"/>
      <c r="P121" s="111"/>
    </row>
    <row r="122" ht="29.25" customHeight="1" spans="1:16">
      <c r="A122" s="14"/>
      <c r="C122" s="14"/>
      <c r="D122" s="28"/>
      <c r="E122" s="57"/>
      <c r="F122" s="14"/>
      <c r="G122" s="14"/>
      <c r="H122" s="14"/>
      <c r="I122" s="14"/>
      <c r="J122" s="75"/>
      <c r="K122" s="75"/>
      <c r="L122" s="75"/>
      <c r="M122" s="14"/>
      <c r="N122" s="14"/>
      <c r="O122" s="14"/>
      <c r="P122" s="111"/>
    </row>
    <row r="123" ht="29.25" customHeight="1" spans="1:16">
      <c r="A123" s="14"/>
      <c r="C123" s="14"/>
      <c r="D123" s="28"/>
      <c r="E123" s="57"/>
      <c r="F123" s="14"/>
      <c r="G123" s="14"/>
      <c r="H123" s="14"/>
      <c r="I123" s="14"/>
      <c r="J123" s="75"/>
      <c r="K123" s="75"/>
      <c r="L123" s="75"/>
      <c r="M123" s="14"/>
      <c r="N123" s="14"/>
      <c r="O123" s="14"/>
      <c r="P123" s="111"/>
    </row>
    <row r="124" ht="29.25" customHeight="1" spans="1:16">
      <c r="A124" s="14"/>
      <c r="C124" s="14"/>
      <c r="D124" s="28"/>
      <c r="E124" s="57"/>
      <c r="F124" s="14"/>
      <c r="G124" s="14"/>
      <c r="H124" s="14"/>
      <c r="I124" s="14"/>
      <c r="J124" s="75"/>
      <c r="K124" s="75"/>
      <c r="L124" s="75"/>
      <c r="M124" s="14"/>
      <c r="N124" s="14"/>
      <c r="O124" s="14"/>
      <c r="P124" s="111"/>
    </row>
    <row r="125" ht="29.25" customHeight="1" spans="1:16">
      <c r="A125" s="14"/>
      <c r="C125" s="14"/>
      <c r="D125" s="28"/>
      <c r="E125" s="57"/>
      <c r="F125" s="14"/>
      <c r="G125" s="14"/>
      <c r="H125" s="14"/>
      <c r="I125" s="14"/>
      <c r="J125" s="75"/>
      <c r="K125" s="75"/>
      <c r="L125" s="75"/>
      <c r="M125" s="14"/>
      <c r="N125" s="14"/>
      <c r="O125" s="14"/>
      <c r="P125" s="111"/>
    </row>
    <row r="126" ht="29.25" customHeight="1" spans="1:16">
      <c r="A126" s="14"/>
      <c r="C126" s="14"/>
      <c r="D126" s="28"/>
      <c r="E126" s="57"/>
      <c r="F126" s="14"/>
      <c r="G126" s="14"/>
      <c r="H126" s="14"/>
      <c r="I126" s="14"/>
      <c r="J126" s="75"/>
      <c r="K126" s="75"/>
      <c r="L126" s="75"/>
      <c r="M126" s="14"/>
      <c r="N126" s="14"/>
      <c r="O126" s="14"/>
      <c r="P126" s="111"/>
    </row>
    <row r="127" ht="29.25" customHeight="1" spans="1:16">
      <c r="A127" s="14"/>
      <c r="C127" s="14"/>
      <c r="D127" s="28"/>
      <c r="E127" s="57"/>
      <c r="F127" s="14"/>
      <c r="G127" s="14"/>
      <c r="H127" s="14"/>
      <c r="I127" s="14"/>
      <c r="J127" s="75"/>
      <c r="K127" s="75"/>
      <c r="L127" s="75"/>
      <c r="M127" s="14"/>
      <c r="N127" s="14"/>
      <c r="O127" s="14"/>
      <c r="P127" s="111"/>
    </row>
    <row r="128" ht="29.25" customHeight="1" spans="1:16">
      <c r="A128" s="14"/>
      <c r="C128" s="14"/>
      <c r="D128" s="28"/>
      <c r="E128" s="57"/>
      <c r="F128" s="14"/>
      <c r="G128" s="14"/>
      <c r="H128" s="14"/>
      <c r="I128" s="14"/>
      <c r="J128" s="75"/>
      <c r="K128" s="75"/>
      <c r="L128" s="75"/>
      <c r="M128" s="14"/>
      <c r="N128" s="14"/>
      <c r="O128" s="14"/>
      <c r="P128" s="111"/>
    </row>
    <row r="129" ht="29.25" customHeight="1" spans="1:16">
      <c r="A129" s="14"/>
      <c r="C129" s="14"/>
      <c r="D129" s="28"/>
      <c r="E129" s="57"/>
      <c r="F129" s="14"/>
      <c r="G129" s="14"/>
      <c r="H129" s="14"/>
      <c r="I129" s="14"/>
      <c r="J129" s="75"/>
      <c r="K129" s="75"/>
      <c r="L129" s="75"/>
      <c r="M129" s="14"/>
      <c r="N129" s="14"/>
      <c r="O129" s="14"/>
      <c r="P129" s="111"/>
    </row>
    <row r="130" ht="29.25" customHeight="1" spans="1:16">
      <c r="A130" s="14"/>
      <c r="C130" s="14"/>
      <c r="D130" s="28"/>
      <c r="E130" s="57"/>
      <c r="F130" s="14"/>
      <c r="G130" s="14"/>
      <c r="H130" s="14"/>
      <c r="I130" s="14"/>
      <c r="J130" s="75"/>
      <c r="K130" s="75"/>
      <c r="L130" s="75"/>
      <c r="M130" s="14"/>
      <c r="N130" s="14"/>
      <c r="O130" s="14"/>
      <c r="P130" s="111"/>
    </row>
    <row r="131" ht="29.25" customHeight="1" spans="1:1">
      <c r="A131" s="14"/>
    </row>
    <row r="132" ht="29.25" customHeight="1" spans="1:1">
      <c r="A132" s="14"/>
    </row>
    <row r="133" ht="29.25" customHeight="1" spans="1:1">
      <c r="A133" s="14"/>
    </row>
    <row r="134" ht="29.25" customHeight="1" spans="1:1">
      <c r="A134" s="14"/>
    </row>
    <row r="135" ht="29.25" customHeight="1" spans="1:1">
      <c r="A135" s="14"/>
    </row>
    <row r="136" ht="29.25" customHeight="1" spans="1:1">
      <c r="A136" s="14"/>
    </row>
    <row r="137" ht="29.25" customHeight="1" spans="1:1">
      <c r="A137" s="14"/>
    </row>
    <row r="138" ht="29.25" customHeight="1" spans="1:1">
      <c r="A138" s="14"/>
    </row>
    <row r="139" ht="29.25" customHeight="1" spans="1:1">
      <c r="A139" s="14"/>
    </row>
    <row r="140" ht="29.25" customHeight="1" spans="1:1">
      <c r="A140" s="14"/>
    </row>
    <row r="141" ht="29.25" customHeight="1" spans="1:1">
      <c r="A141" s="14"/>
    </row>
    <row r="142" ht="29.25" customHeight="1" spans="1:1">
      <c r="A142" s="14"/>
    </row>
    <row r="143" ht="29.25" customHeight="1" spans="1:1">
      <c r="A143" s="14"/>
    </row>
    <row r="144" ht="29.25" customHeight="1" spans="1:1">
      <c r="A144" s="14"/>
    </row>
    <row r="145" ht="29.25" customHeight="1" spans="1:1">
      <c r="A145" s="14"/>
    </row>
    <row r="146" ht="29.25" customHeight="1" spans="1:1">
      <c r="A146" s="14"/>
    </row>
    <row r="147" ht="29.25" customHeight="1" spans="1:1">
      <c r="A147" s="14"/>
    </row>
    <row r="148" ht="29.25" customHeight="1" spans="1:1">
      <c r="A148" s="14"/>
    </row>
    <row r="149" ht="29.25" customHeight="1" spans="1:1">
      <c r="A149" s="14"/>
    </row>
    <row r="150" ht="29.25" customHeight="1" spans="1:1">
      <c r="A150" s="14"/>
    </row>
    <row r="151" ht="29.25" customHeight="1" spans="1:1">
      <c r="A151" s="14"/>
    </row>
    <row r="152" ht="29.25" customHeight="1" spans="1:1">
      <c r="A152" s="14"/>
    </row>
    <row r="153" ht="29.25" customHeight="1" spans="1:1">
      <c r="A153" s="14"/>
    </row>
    <row r="154" ht="29.25" customHeight="1" spans="1:1">
      <c r="A154" s="14"/>
    </row>
    <row r="155" ht="29.25" customHeight="1" spans="1:1">
      <c r="A155" s="14"/>
    </row>
    <row r="156" ht="29.25" customHeight="1" spans="1:1">
      <c r="A156" s="14"/>
    </row>
    <row r="157" ht="29.25" customHeight="1" spans="1:1">
      <c r="A157" s="14"/>
    </row>
    <row r="158" ht="29.25" customHeight="1" spans="1:1">
      <c r="A158" s="14"/>
    </row>
    <row r="159" ht="29.25" customHeight="1" spans="1:1">
      <c r="A159" s="14"/>
    </row>
    <row r="160" ht="29.25" customHeight="1" spans="1:1">
      <c r="A160" s="14"/>
    </row>
    <row r="161" ht="29.25" customHeight="1" spans="1:1">
      <c r="A161" s="14"/>
    </row>
    <row r="162" ht="29.25" customHeight="1" spans="1:1">
      <c r="A162" s="14"/>
    </row>
    <row r="163" ht="29.25" customHeight="1" spans="1:1">
      <c r="A163" s="14"/>
    </row>
    <row r="164" ht="29.25" customHeight="1" spans="1:1">
      <c r="A164" s="14"/>
    </row>
    <row r="165" ht="29.25" customHeight="1" spans="1:1">
      <c r="A165" s="14"/>
    </row>
    <row r="166" ht="29.25" customHeight="1" spans="1:1">
      <c r="A166" s="14"/>
    </row>
    <row r="167" ht="29.25" customHeight="1" spans="1:1">
      <c r="A167" s="14"/>
    </row>
    <row r="168" ht="29.25" customHeight="1" spans="1:1">
      <c r="A168" s="14"/>
    </row>
    <row r="169" ht="29.25" customHeight="1" spans="1:1">
      <c r="A169" s="14"/>
    </row>
    <row r="170" ht="29.25" customHeight="1" spans="1:1">
      <c r="A170" s="14"/>
    </row>
    <row r="171" ht="29.25" customHeight="1" spans="1:1">
      <c r="A171" s="14"/>
    </row>
    <row r="172" ht="29.25" customHeight="1" spans="1:1">
      <c r="A172" s="14"/>
    </row>
    <row r="173" ht="29.25" customHeight="1" spans="1:1">
      <c r="A173" s="14"/>
    </row>
    <row r="174" ht="29.25" customHeight="1" spans="1:1">
      <c r="A174" s="14"/>
    </row>
    <row r="175" ht="29.25" customHeight="1" spans="1:1">
      <c r="A175" s="14"/>
    </row>
    <row r="176" ht="29.25" customHeight="1" spans="1:1">
      <c r="A176" s="14"/>
    </row>
    <row r="177" ht="29.25" customHeight="1" spans="1:1">
      <c r="A177" s="14"/>
    </row>
    <row r="178" ht="29.25" customHeight="1" spans="1:1">
      <c r="A178" s="14"/>
    </row>
    <row r="179" ht="29.25" customHeight="1" spans="1:1">
      <c r="A179" s="14"/>
    </row>
    <row r="180" ht="29.25" customHeight="1" spans="1:1">
      <c r="A180" s="14"/>
    </row>
    <row r="181" ht="29.25" customHeight="1" spans="1:1">
      <c r="A181" s="14"/>
    </row>
    <row r="182" ht="29.25" customHeight="1" spans="1:1">
      <c r="A182" s="14"/>
    </row>
    <row r="183" ht="29.25" customHeight="1" spans="1:1">
      <c r="A183" s="14"/>
    </row>
    <row r="184" ht="29.25" customHeight="1" spans="1:1">
      <c r="A184" s="14"/>
    </row>
    <row r="185" ht="29.25" customHeight="1" spans="1:1">
      <c r="A185" s="14"/>
    </row>
  </sheetData>
  <autoFilter xmlns:etc="http://www.wps.cn/officeDocument/2017/etCustomData" ref="A1:XFD1048576" etc:filterBottomFollowUsedRange="0">
    <extLst/>
  </autoFilter>
  <mergeCells count="82">
    <mergeCell ref="A94:L94"/>
    <mergeCell ref="A3:A16"/>
    <mergeCell ref="A17:A27"/>
    <mergeCell ref="A28:A38"/>
    <mergeCell ref="A40:A41"/>
    <mergeCell ref="A42:A54"/>
    <mergeCell ref="A55:A56"/>
    <mergeCell ref="A57:A60"/>
    <mergeCell ref="A61:A68"/>
    <mergeCell ref="A69:A78"/>
    <mergeCell ref="A79:A81"/>
    <mergeCell ref="A82:A91"/>
    <mergeCell ref="B3:B6"/>
    <mergeCell ref="B7:B11"/>
    <mergeCell ref="B12:B14"/>
    <mergeCell ref="B17:B18"/>
    <mergeCell ref="B19:B21"/>
    <mergeCell ref="B22:B24"/>
    <mergeCell ref="B25:B27"/>
    <mergeCell ref="B28:B38"/>
    <mergeCell ref="B40:B41"/>
    <mergeCell ref="B42:B50"/>
    <mergeCell ref="B51:B54"/>
    <mergeCell ref="B57:B58"/>
    <mergeCell ref="B59:B60"/>
    <mergeCell ref="B61:B63"/>
    <mergeCell ref="B64:B65"/>
    <mergeCell ref="B67:B68"/>
    <mergeCell ref="B69:B71"/>
    <mergeCell ref="B72:B74"/>
    <mergeCell ref="B75:B77"/>
    <mergeCell ref="B79:B81"/>
    <mergeCell ref="B82:B84"/>
    <mergeCell ref="B85:B88"/>
    <mergeCell ref="C28:C38"/>
    <mergeCell ref="C42:C45"/>
    <mergeCell ref="C46:C47"/>
    <mergeCell ref="C49:C50"/>
    <mergeCell ref="C51:C54"/>
    <mergeCell ref="F2:F27"/>
    <mergeCell ref="F67:F68"/>
    <mergeCell ref="F69:F71"/>
    <mergeCell ref="F72:F74"/>
    <mergeCell ref="F75:F77"/>
    <mergeCell ref="G2:G27"/>
    <mergeCell ref="G67:G68"/>
    <mergeCell ref="H2:H27"/>
    <mergeCell ref="H67:H68"/>
    <mergeCell ref="I2:I27"/>
    <mergeCell ref="I67:I68"/>
    <mergeCell ref="J2:J27"/>
    <mergeCell ref="J67:J68"/>
    <mergeCell ref="J69:J71"/>
    <mergeCell ref="J72:J74"/>
    <mergeCell ref="J75:J77"/>
    <mergeCell ref="K2:K27"/>
    <mergeCell ref="K67:K68"/>
    <mergeCell ref="K69:K71"/>
    <mergeCell ref="K72:K74"/>
    <mergeCell ref="K75:K77"/>
    <mergeCell ref="L2:L27"/>
    <mergeCell ref="L67:L68"/>
    <mergeCell ref="L69:L71"/>
    <mergeCell ref="L72:L74"/>
    <mergeCell ref="L75:L77"/>
    <mergeCell ref="M2:M27"/>
    <mergeCell ref="M67:M68"/>
    <mergeCell ref="M69:M71"/>
    <mergeCell ref="M72:M74"/>
    <mergeCell ref="M75:M77"/>
    <mergeCell ref="N2:N27"/>
    <mergeCell ref="N67:N68"/>
    <mergeCell ref="N69:N71"/>
    <mergeCell ref="N72:N74"/>
    <mergeCell ref="N75:N77"/>
    <mergeCell ref="O2:O27"/>
    <mergeCell ref="O67:O68"/>
    <mergeCell ref="O69:O71"/>
    <mergeCell ref="O72:O74"/>
    <mergeCell ref="O75:O77"/>
    <mergeCell ref="P28:P38"/>
    <mergeCell ref="P52:P53"/>
  </mergeCells>
  <conditionalFormatting sqref="F39">
    <cfRule type="notContainsText" dxfId="0" priority="3" operator="notContains" text="0">
      <formula>ISERROR(SEARCH("0",F39))</formula>
    </cfRule>
  </conditionalFormatting>
  <conditionalFormatting sqref="F53">
    <cfRule type="notContainsText" dxfId="0" priority="4" operator="notContains" text="0">
      <formula>ISERROR(SEARCH("0",F53))</formula>
    </cfRule>
  </conditionalFormatting>
  <conditionalFormatting sqref="F57">
    <cfRule type="cellIs" dxfId="0" priority="1" operator="greaterThan">
      <formula>0</formula>
    </cfRule>
    <cfRule type="notContainsText" dxfId="0" priority="2" operator="notContains" text="0">
      <formula>ISERROR(SEARCH("0",F57))</formula>
    </cfRule>
  </conditionalFormatting>
  <conditionalFormatting sqref="F58">
    <cfRule type="cellIs" dxfId="0" priority="9" operator="greaterThan">
      <formula>0</formula>
    </cfRule>
    <cfRule type="notContainsText" dxfId="0" priority="10" operator="notContains" text="0">
      <formula>ISERROR(SEARCH("0",F58))</formula>
    </cfRule>
  </conditionalFormatting>
  <conditionalFormatting sqref="F60">
    <cfRule type="cellIs" dxfId="0" priority="6" operator="greaterThan">
      <formula>0</formula>
    </cfRule>
    <cfRule type="notContainsText" dxfId="0" priority="7" operator="notContains" text="0">
      <formula>ISERROR(SEARCH("0",F60))</formula>
    </cfRule>
  </conditionalFormatting>
  <conditionalFormatting sqref="F62">
    <cfRule type="cellIs" dxfId="0" priority="12" operator="greaterThan">
      <formula>0</formula>
    </cfRule>
    <cfRule type="notContainsText" dxfId="0" priority="13" operator="notContains" text="0">
      <formula>ISERROR(SEARCH("0",F62))</formula>
    </cfRule>
  </conditionalFormatting>
  <conditionalFormatting sqref="F63">
    <cfRule type="cellIs" dxfId="0" priority="15" operator="greaterThan">
      <formula>0</formula>
    </cfRule>
    <cfRule type="notContainsText" dxfId="0" priority="16" operator="notContains" text="0">
      <formula>ISERROR(SEARCH("0",F63))</formula>
    </cfRule>
  </conditionalFormatting>
  <conditionalFormatting sqref="F64">
    <cfRule type="cellIs" dxfId="0" priority="18" operator="greaterThan">
      <formula>0</formula>
    </cfRule>
    <cfRule type="notContainsText" dxfId="0" priority="19" operator="notContains" text="0">
      <formula>ISERROR(SEARCH("0",F64))</formula>
    </cfRule>
  </conditionalFormatting>
  <conditionalFormatting sqref="F65">
    <cfRule type="cellIs" dxfId="0" priority="21" operator="greaterThan">
      <formula>0</formula>
    </cfRule>
    <cfRule type="notContainsText" dxfId="0" priority="22" operator="notContains" text="0">
      <formula>ISERROR(SEARCH("0",F65))</formula>
    </cfRule>
  </conditionalFormatting>
  <conditionalFormatting sqref="F66">
    <cfRule type="cellIs" dxfId="0" priority="24" operator="greaterThan">
      <formula>0</formula>
    </cfRule>
    <cfRule type="notContainsText" dxfId="0" priority="25" operator="notContains" text="0">
      <formula>ISERROR(SEARCH("0",F66))</formula>
    </cfRule>
  </conditionalFormatting>
  <conditionalFormatting sqref="F86">
    <cfRule type="cellIs" dxfId="0" priority="27" operator="greaterThan">
      <formula>0</formula>
    </cfRule>
    <cfRule type="notContainsText" dxfId="0" priority="28" operator="notContains" text="0">
      <formula>ISERROR(SEARCH("0",F86))</formula>
    </cfRule>
  </conditionalFormatting>
  <conditionalFormatting sqref="F87">
    <cfRule type="cellIs" dxfId="0" priority="30" operator="greaterThan">
      <formula>0</formula>
    </cfRule>
    <cfRule type="notContainsText" dxfId="0" priority="31" operator="notContains" text="0">
      <formula>ISERROR(SEARCH("0",F87))</formula>
    </cfRule>
  </conditionalFormatting>
  <conditionalFormatting sqref="F89">
    <cfRule type="cellIs" dxfId="0" priority="33" operator="greaterThan">
      <formula>0</formula>
    </cfRule>
    <cfRule type="notContainsText" dxfId="0" priority="34" operator="notContains" text="0">
      <formula>ISERROR(SEARCH("0",F89))</formula>
    </cfRule>
  </conditionalFormatting>
  <conditionalFormatting sqref="F91">
    <cfRule type="cellIs" dxfId="0" priority="39" operator="greaterThan">
      <formula>0</formula>
    </cfRule>
    <cfRule type="notContainsText" dxfId="0" priority="40" operator="notContains" text="0">
      <formula>ISERROR(SEARCH("0",F91))</formula>
    </cfRule>
  </conditionalFormatting>
  <conditionalFormatting sqref="F1:F56 F59 F61 F67:F85 F88 F90 F92:F185">
    <cfRule type="cellIs" dxfId="0" priority="36" operator="greaterThan">
      <formula>0</formula>
    </cfRule>
    <cfRule type="notContainsText" dxfId="0" priority="37" operator="notContains" text="0">
      <formula>ISERROR(SEARCH("0",F1))</formula>
    </cfRule>
  </conditionalFormatting>
  <conditionalFormatting sqref="F2:F38 F40:F52 F54:F56 F59 F61 F67:F85 F88 F90 F92:F93">
    <cfRule type="notContainsText" dxfId="0" priority="38" operator="notContains" text="0">
      <formula>ISERROR(SEARCH("0",F2))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4"/>
  <sheetViews>
    <sheetView workbookViewId="0">
      <selection activeCell="A1" sqref="A1"/>
    </sheetView>
  </sheetViews>
  <sheetFormatPr defaultColWidth="10" defaultRowHeight="16.5" customHeight="1"/>
  <cols>
    <col min="3" max="3" width="15.575"/>
    <col min="5" max="5" width="43.125"/>
  </cols>
  <sheetData>
    <row r="1" ht="29.25" customHeight="1" spans="1:12">
      <c r="A1" s="1" t="s">
        <v>2</v>
      </c>
      <c r="B1" s="1" t="s">
        <v>74</v>
      </c>
      <c r="C1" s="2" t="s">
        <v>307</v>
      </c>
      <c r="D1" s="1" t="s">
        <v>75</v>
      </c>
      <c r="E1" s="7" t="s">
        <v>76</v>
      </c>
      <c r="F1" s="1" t="s">
        <v>3</v>
      </c>
      <c r="G1" s="1" t="s">
        <v>4</v>
      </c>
      <c r="H1" s="1" t="s">
        <v>77</v>
      </c>
      <c r="I1" s="1" t="s">
        <v>78</v>
      </c>
      <c r="J1" s="3" t="s">
        <v>308</v>
      </c>
      <c r="K1" s="7" t="s">
        <v>309</v>
      </c>
      <c r="L1" s="3" t="s">
        <v>310</v>
      </c>
    </row>
    <row r="2" ht="29.25" customHeight="1" spans="1:12">
      <c r="A2" s="3"/>
      <c r="B2" s="3" t="s">
        <v>311</v>
      </c>
      <c r="C2" s="3" t="s">
        <v>312</v>
      </c>
      <c r="D2" s="1" t="s">
        <v>88</v>
      </c>
      <c r="E2" s="7" t="s">
        <v>313</v>
      </c>
      <c r="F2" s="1">
        <v>0</v>
      </c>
      <c r="G2" s="8" t="s">
        <v>314</v>
      </c>
      <c r="H2" s="1">
        <v>5</v>
      </c>
      <c r="I2" s="1">
        <f>H2*2500</f>
        <v>12500</v>
      </c>
      <c r="J2" s="1">
        <v>0</v>
      </c>
      <c r="K2" s="7" t="s">
        <v>315</v>
      </c>
      <c r="L2" s="1"/>
    </row>
    <row r="3" ht="29.25" customHeight="1" spans="1:12">
      <c r="A3" s="3"/>
      <c r="B3" s="4"/>
      <c r="C3" s="4"/>
      <c r="D3" s="1" t="s">
        <v>152</v>
      </c>
      <c r="E3" s="7" t="s">
        <v>316</v>
      </c>
      <c r="F3" s="1">
        <v>0</v>
      </c>
      <c r="G3" s="8" t="s">
        <v>314</v>
      </c>
      <c r="H3" s="1">
        <v>7.5</v>
      </c>
      <c r="I3" s="1">
        <f>H3*2500</f>
        <v>18750</v>
      </c>
      <c r="J3" s="1">
        <v>0</v>
      </c>
      <c r="K3" s="7" t="s">
        <v>315</v>
      </c>
      <c r="L3" s="1"/>
    </row>
    <row r="4" ht="29.25" customHeight="1" spans="1:12">
      <c r="A4" s="3"/>
      <c r="B4" s="4"/>
      <c r="C4" s="4"/>
      <c r="D4" s="1" t="s">
        <v>152</v>
      </c>
      <c r="E4" s="7" t="s">
        <v>317</v>
      </c>
      <c r="F4" s="1">
        <v>0</v>
      </c>
      <c r="G4" s="8" t="s">
        <v>314</v>
      </c>
      <c r="H4" s="1">
        <v>2</v>
      </c>
      <c r="I4" s="1">
        <f>H4*2500</f>
        <v>5000</v>
      </c>
      <c r="J4" s="1">
        <f>I4*1.5</f>
        <v>7500</v>
      </c>
      <c r="K4" s="7"/>
      <c r="L4" s="1"/>
    </row>
    <row r="5" ht="29.25" customHeight="1" spans="1:12">
      <c r="A5" s="3"/>
      <c r="B5" s="4"/>
      <c r="C5" s="4"/>
      <c r="D5" s="1" t="s">
        <v>152</v>
      </c>
      <c r="E5" s="7" t="s">
        <v>318</v>
      </c>
      <c r="F5" s="1">
        <v>0</v>
      </c>
      <c r="G5" s="8" t="s">
        <v>314</v>
      </c>
      <c r="H5" s="1">
        <v>3</v>
      </c>
      <c r="I5" s="1">
        <f>H5*2500</f>
        <v>7500</v>
      </c>
      <c r="J5" s="1">
        <f>I5*1.5</f>
        <v>11250</v>
      </c>
      <c r="K5" s="7"/>
      <c r="L5" s="1"/>
    </row>
    <row r="6" ht="29.25" customHeight="1" spans="1:12">
      <c r="A6" s="3"/>
      <c r="B6" s="4"/>
      <c r="C6" s="4"/>
      <c r="D6" s="1" t="s">
        <v>152</v>
      </c>
      <c r="E6" s="7" t="s">
        <v>319</v>
      </c>
      <c r="F6" s="1">
        <v>0</v>
      </c>
      <c r="G6" s="8" t="s">
        <v>314</v>
      </c>
      <c r="H6" s="1"/>
      <c r="I6" s="1" t="s">
        <v>320</v>
      </c>
      <c r="J6" s="1" t="s">
        <v>320</v>
      </c>
      <c r="K6" s="7" t="s">
        <v>321</v>
      </c>
      <c r="L6" s="1"/>
    </row>
    <row r="7" ht="29.25" customHeight="1" spans="1:12">
      <c r="A7" s="3"/>
      <c r="B7" s="4"/>
      <c r="C7" s="3" t="s">
        <v>322</v>
      </c>
      <c r="D7" s="1" t="s">
        <v>88</v>
      </c>
      <c r="E7" s="7" t="s">
        <v>323</v>
      </c>
      <c r="F7" s="1">
        <v>0</v>
      </c>
      <c r="G7" s="8" t="s">
        <v>314</v>
      </c>
      <c r="H7" s="1">
        <v>2</v>
      </c>
      <c r="I7" s="1">
        <f>H7*2500</f>
        <v>5000</v>
      </c>
      <c r="J7" s="1">
        <v>0</v>
      </c>
      <c r="K7" s="7"/>
      <c r="L7" s="9" t="s">
        <v>324</v>
      </c>
    </row>
    <row r="8" ht="29.25" customHeight="1" spans="1:12">
      <c r="A8" s="3"/>
      <c r="B8" s="4"/>
      <c r="C8" s="4"/>
      <c r="D8" s="1" t="s">
        <v>152</v>
      </c>
      <c r="E8" s="7" t="s">
        <v>325</v>
      </c>
      <c r="F8" s="1">
        <v>0</v>
      </c>
      <c r="G8" s="8" t="s">
        <v>314</v>
      </c>
      <c r="H8" s="1">
        <v>2</v>
      </c>
      <c r="I8" s="1">
        <f>H8*2500</f>
        <v>5000</v>
      </c>
      <c r="J8" s="1">
        <f>I8*1.5</f>
        <v>7500</v>
      </c>
      <c r="K8" s="7"/>
      <c r="L8" s="10"/>
    </row>
    <row r="9" ht="29.25" customHeight="1" spans="1:12">
      <c r="A9" s="3"/>
      <c r="B9" s="4"/>
      <c r="C9" s="4"/>
      <c r="D9" s="1" t="s">
        <v>152</v>
      </c>
      <c r="E9" s="7" t="s">
        <v>326</v>
      </c>
      <c r="F9" s="1">
        <v>0</v>
      </c>
      <c r="G9" s="8" t="s">
        <v>314</v>
      </c>
      <c r="H9" s="1">
        <v>3</v>
      </c>
      <c r="I9" s="1">
        <f>H9*2500</f>
        <v>7500</v>
      </c>
      <c r="J9" s="1">
        <f>I9*1.5</f>
        <v>11250</v>
      </c>
      <c r="K9" s="7"/>
      <c r="L9" s="1"/>
    </row>
    <row r="10" ht="29.25" customHeight="1" spans="1:12">
      <c r="A10" s="3"/>
      <c r="B10" s="4"/>
      <c r="C10" s="1" t="s">
        <v>327</v>
      </c>
      <c r="D10" s="1" t="s">
        <v>152</v>
      </c>
      <c r="E10" s="7" t="s">
        <v>319</v>
      </c>
      <c r="F10" s="1">
        <v>0</v>
      </c>
      <c r="G10" s="8" t="s">
        <v>314</v>
      </c>
      <c r="H10" s="1"/>
      <c r="I10" s="1" t="s">
        <v>320</v>
      </c>
      <c r="J10" s="1" t="s">
        <v>320</v>
      </c>
      <c r="K10" s="7" t="s">
        <v>321</v>
      </c>
      <c r="L10" s="1"/>
    </row>
    <row r="11" ht="29.25" customHeight="1" spans="1:12">
      <c r="A11" s="3"/>
      <c r="B11" s="4"/>
      <c r="C11" s="1" t="s">
        <v>328</v>
      </c>
      <c r="D11" s="1" t="s">
        <v>152</v>
      </c>
      <c r="E11" s="7" t="s">
        <v>329</v>
      </c>
      <c r="F11" s="1">
        <v>0</v>
      </c>
      <c r="G11" s="8" t="s">
        <v>314</v>
      </c>
      <c r="H11" s="1"/>
      <c r="I11" s="1" t="s">
        <v>320</v>
      </c>
      <c r="J11" s="1" t="s">
        <v>320</v>
      </c>
      <c r="K11" s="7" t="s">
        <v>330</v>
      </c>
      <c r="L11" s="1"/>
    </row>
    <row r="12" ht="29.25" customHeight="1" spans="1:12">
      <c r="A12" s="3"/>
      <c r="B12" s="5"/>
      <c r="C12" s="1" t="s">
        <v>167</v>
      </c>
      <c r="D12" s="1" t="s">
        <v>152</v>
      </c>
      <c r="E12" s="7" t="s">
        <v>331</v>
      </c>
      <c r="F12" s="1">
        <v>0</v>
      </c>
      <c r="G12" s="8" t="s">
        <v>314</v>
      </c>
      <c r="H12" s="1"/>
      <c r="I12" s="1" t="s">
        <v>320</v>
      </c>
      <c r="J12" s="1" t="s">
        <v>320</v>
      </c>
      <c r="K12" s="7" t="s">
        <v>170</v>
      </c>
      <c r="L12" s="1"/>
    </row>
    <row r="13" ht="29.25" customHeight="1" spans="1:12">
      <c r="A13" s="6"/>
      <c r="B13" s="6" t="s">
        <v>332</v>
      </c>
      <c r="C13" s="1"/>
      <c r="D13" s="1"/>
      <c r="E13" s="7"/>
      <c r="F13" s="1"/>
      <c r="G13" s="1"/>
      <c r="H13" s="1"/>
      <c r="I13" s="1"/>
      <c r="J13" s="1"/>
      <c r="K13" s="7"/>
      <c r="L13" s="1"/>
    </row>
    <row r="14" ht="29.25" customHeight="1" spans="1:12">
      <c r="A14" s="1"/>
      <c r="B14" s="1"/>
      <c r="C14" s="1"/>
      <c r="D14" s="1"/>
      <c r="E14" s="9"/>
      <c r="F14" s="3"/>
      <c r="G14" s="3"/>
      <c r="H14" s="3"/>
      <c r="I14" s="3"/>
      <c r="J14" s="3"/>
      <c r="K14" s="9"/>
      <c r="L14" s="1"/>
    </row>
  </sheetData>
  <mergeCells count="4">
    <mergeCell ref="B2:B12"/>
    <mergeCell ref="C2:C6"/>
    <mergeCell ref="C7:C9"/>
    <mergeCell ref="L7:L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总报价（总表）</vt:lpstr>
      <vt:lpstr>报价示例-巴城立讯</vt:lpstr>
      <vt:lpstr>大屏定价逻辑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之誓</cp:lastModifiedBy>
  <dcterms:created xsi:type="dcterms:W3CDTF">2006-09-17T00:00:00Z</dcterms:created>
  <dcterms:modified xsi:type="dcterms:W3CDTF">2025-09-18T17:49:26Z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2C7E05BFE1250A03D9D2CB688586D13F_43</vt:lpwstr>
  </property>
  <property fmtid="{D5CDD505-2E9C-101B-9397-08002B2CF9AE}" pid="3" name="KSOProductBuildVer">
    <vt:lpwstr>2052-12.1.21861.21861</vt:lpwstr>
  </property>
</Properties>
</file>